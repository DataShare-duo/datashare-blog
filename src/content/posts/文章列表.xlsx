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个人\project-github\datashare-blog\src\content\posts\"/>
    </mc:Choice>
  </mc:AlternateContent>
  <xr:revisionPtr revIDLastSave="0" documentId="13_ncr:1_{B8268FCD-1878-4C2C-9A18-C4A385E9C4A9}" xr6:coauthVersionLast="47" xr6:coauthVersionMax="47" xr10:uidLastSave="{00000000-0000-0000-0000-000000000000}"/>
  <bookViews>
    <workbookView xWindow="-110" yWindow="-110" windowWidth="25820" windowHeight="15500" tabRatio="838" firstSheet="1" activeTab="6" xr2:uid="{00000000-000D-0000-FFFF-FFFF00000000}"/>
  </bookViews>
  <sheets>
    <sheet name="polars-学习" sheetId="1" r:id="rId1"/>
    <sheet name="Hive" sheetId="3" r:id="rId2"/>
    <sheet name="EXCEL数据处理-VBA" sheetId="4" r:id="rId3"/>
    <sheet name="Linux" sheetId="5" r:id="rId4"/>
    <sheet name="NLP" sheetId="6" r:id="rId5"/>
    <sheet name="Python基础库" sheetId="7" r:id="rId6"/>
    <sheet name="Python数据处理" sheetId="8" r:id="rId7"/>
    <sheet name="Python图像处理" sheetId="9" r:id="rId8"/>
    <sheet name="数据采集" sheetId="10" r:id="rId9"/>
    <sheet name="数据分析与挖掘" sheetId="11" r:id="rId10"/>
    <sheet name="数据可视化" sheetId="12" r:id="rId11"/>
    <sheet name="数学知识" sheetId="13" r:id="rId12"/>
    <sheet name="随笔" sheetId="14" r:id="rId13"/>
    <sheet name="clickehouse" sheetId="15" r:id="rId14"/>
    <sheet name="大模型相关" sheetId="17" r:id="rId15"/>
    <sheet name="Web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7" l="1"/>
  <c r="E8" i="17"/>
  <c r="D8" i="17"/>
  <c r="F15" i="11"/>
  <c r="F16" i="11"/>
  <c r="F17" i="11"/>
  <c r="F18" i="11"/>
  <c r="F19" i="11"/>
  <c r="F20" i="11"/>
  <c r="F15" i="13"/>
  <c r="E15" i="13"/>
  <c r="D15" i="13"/>
  <c r="F14" i="13"/>
  <c r="E14" i="13"/>
  <c r="D14" i="13"/>
  <c r="F13" i="13"/>
  <c r="E13" i="13"/>
  <c r="D13" i="13"/>
  <c r="F12" i="13"/>
  <c r="E12" i="13"/>
  <c r="D12" i="13"/>
  <c r="F11" i="13"/>
  <c r="E11" i="13"/>
  <c r="D11" i="13"/>
  <c r="F10" i="13"/>
  <c r="E10" i="13"/>
  <c r="D10" i="13"/>
  <c r="F9" i="13"/>
  <c r="E9" i="13"/>
  <c r="D9" i="13"/>
  <c r="E20" i="11"/>
  <c r="D20" i="11"/>
  <c r="E19" i="11"/>
  <c r="D19" i="11"/>
  <c r="E18" i="11"/>
  <c r="D18" i="11"/>
  <c r="E17" i="11"/>
  <c r="D17" i="11"/>
  <c r="E16" i="11"/>
  <c r="D16" i="11"/>
  <c r="E15" i="11"/>
  <c r="D15" i="11"/>
  <c r="F14" i="11"/>
  <c r="E14" i="11"/>
  <c r="D14" i="11"/>
  <c r="F11" i="14"/>
  <c r="F12" i="14"/>
  <c r="F13" i="14"/>
  <c r="F14" i="14"/>
  <c r="F15" i="14"/>
  <c r="F10" i="14"/>
  <c r="F9" i="14"/>
  <c r="F3" i="14"/>
  <c r="F4" i="14"/>
  <c r="F5" i="14"/>
  <c r="F2" i="14"/>
  <c r="F3" i="11"/>
  <c r="F4" i="11"/>
  <c r="F5" i="11"/>
  <c r="F6" i="11"/>
  <c r="F7" i="11"/>
  <c r="F8" i="11"/>
  <c r="F9" i="11"/>
  <c r="F10" i="11"/>
  <c r="F2" i="11"/>
  <c r="F3" i="12"/>
  <c r="F4" i="12"/>
  <c r="F5" i="12"/>
  <c r="F6" i="12"/>
  <c r="F7" i="12"/>
  <c r="F8" i="12"/>
  <c r="F9" i="12"/>
  <c r="F10" i="12"/>
  <c r="F2" i="12"/>
  <c r="F7" i="16"/>
  <c r="F8" i="16"/>
  <c r="F9" i="16"/>
  <c r="F10" i="16"/>
  <c r="F11" i="16"/>
  <c r="F12" i="16"/>
  <c r="F6" i="16"/>
  <c r="F2" i="16"/>
  <c r="F3" i="5"/>
  <c r="F4" i="5"/>
  <c r="F5" i="5"/>
  <c r="F6" i="5"/>
  <c r="F2" i="5"/>
  <c r="F3" i="13"/>
  <c r="F4" i="13"/>
  <c r="F5" i="13"/>
  <c r="F2" i="13"/>
  <c r="F3" i="10"/>
  <c r="F4" i="10"/>
  <c r="F2" i="10"/>
  <c r="F17" i="9"/>
  <c r="F3" i="9"/>
  <c r="F4" i="9"/>
  <c r="F5" i="9"/>
  <c r="F6" i="9"/>
  <c r="F7" i="9"/>
  <c r="F8" i="9"/>
  <c r="F9" i="9"/>
  <c r="F10" i="9"/>
  <c r="F11" i="9"/>
  <c r="F12" i="9"/>
  <c r="F13" i="9"/>
  <c r="F2" i="9"/>
  <c r="F33" i="7"/>
  <c r="F34" i="7"/>
  <c r="F35" i="7"/>
  <c r="F36" i="7"/>
  <c r="F37" i="7"/>
  <c r="F38" i="7"/>
  <c r="F3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2" i="7"/>
  <c r="F51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2" i="8"/>
  <c r="E5" i="17"/>
  <c r="E4" i="17"/>
  <c r="E3" i="17"/>
  <c r="E2" i="17"/>
  <c r="E6" i="12"/>
  <c r="E5" i="12"/>
  <c r="E4" i="12"/>
  <c r="E3" i="12"/>
  <c r="E2" i="12"/>
  <c r="E6" i="11"/>
  <c r="E5" i="11"/>
  <c r="E4" i="11"/>
  <c r="E3" i="11"/>
  <c r="E2" i="11"/>
  <c r="E11" i="9"/>
  <c r="E10" i="9"/>
  <c r="E9" i="9"/>
  <c r="E8" i="9"/>
  <c r="E7" i="9"/>
  <c r="E6" i="9"/>
  <c r="E5" i="9"/>
  <c r="E4" i="9"/>
  <c r="E3" i="9"/>
  <c r="E2" i="9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6" i="3"/>
  <c r="D5" i="3"/>
  <c r="D4" i="3"/>
  <c r="D3" i="3"/>
  <c r="D2" i="3"/>
  <c r="D11" i="1"/>
  <c r="D10" i="1"/>
  <c r="D9" i="1"/>
  <c r="D8" i="1"/>
  <c r="D7" i="1"/>
  <c r="D6" i="1"/>
  <c r="D5" i="1"/>
  <c r="D4" i="1"/>
  <c r="D3" i="1"/>
  <c r="D2" i="1"/>
  <c r="D12" i="1"/>
  <c r="D9" i="3"/>
  <c r="D8" i="3"/>
  <c r="D4" i="6"/>
  <c r="D3" i="6"/>
  <c r="D2" i="6"/>
  <c r="E29" i="7"/>
  <c r="E28" i="7"/>
  <c r="E27" i="7"/>
  <c r="E47" i="8"/>
  <c r="E46" i="8"/>
  <c r="E45" i="8"/>
  <c r="E13" i="9"/>
  <c r="E12" i="9"/>
  <c r="E4" i="10"/>
  <c r="E3" i="10"/>
  <c r="E2" i="10"/>
  <c r="E10" i="11"/>
  <c r="E9" i="11"/>
  <c r="E8" i="11"/>
  <c r="E7" i="11"/>
  <c r="E10" i="12"/>
  <c r="E9" i="12"/>
  <c r="E8" i="12"/>
  <c r="E7" i="12"/>
  <c r="E5" i="13"/>
  <c r="E4" i="13"/>
  <c r="E3" i="13"/>
  <c r="E2" i="13"/>
  <c r="E5" i="14"/>
  <c r="E4" i="14"/>
  <c r="E3" i="14"/>
  <c r="E2" i="14"/>
  <c r="D4" i="15"/>
  <c r="D3" i="15"/>
  <c r="D2" i="15"/>
  <c r="E2" i="16"/>
  <c r="D5" i="17"/>
  <c r="F5" i="17"/>
  <c r="D4" i="17"/>
  <c r="F4" i="17"/>
  <c r="F9" i="17"/>
  <c r="F10" i="17"/>
  <c r="F11" i="17"/>
  <c r="F12" i="17"/>
  <c r="F13" i="17"/>
  <c r="F14" i="17"/>
  <c r="F3" i="17"/>
  <c r="F2" i="17"/>
  <c r="E3" i="6"/>
  <c r="E4" i="6"/>
  <c r="E2" i="6"/>
  <c r="E4" i="15"/>
  <c r="E3" i="15"/>
  <c r="E2" i="15"/>
  <c r="E5" i="3"/>
  <c r="E6" i="3"/>
  <c r="E7" i="3"/>
  <c r="E8" i="3"/>
  <c r="E9" i="3"/>
  <c r="E4" i="3"/>
  <c r="E3" i="3"/>
  <c r="E2" i="3"/>
  <c r="E4" i="1"/>
  <c r="E5" i="1"/>
  <c r="E6" i="1"/>
  <c r="E7" i="1"/>
  <c r="E8" i="1"/>
  <c r="E9" i="1"/>
  <c r="E10" i="1"/>
  <c r="E11" i="1"/>
  <c r="E12" i="1"/>
  <c r="E3" i="1"/>
  <c r="E2" i="1"/>
  <c r="C2" i="1"/>
  <c r="C3" i="1"/>
  <c r="C4" i="1"/>
  <c r="C5" i="1"/>
  <c r="C6" i="1"/>
  <c r="C7" i="1"/>
  <c r="C8" i="1"/>
  <c r="C9" i="1"/>
  <c r="C10" i="1"/>
  <c r="C11" i="1"/>
  <c r="C12" i="1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15" i="14"/>
  <c r="D15" i="14"/>
  <c r="E14" i="14"/>
  <c r="D14" i="14"/>
  <c r="E13" i="14"/>
  <c r="D13" i="14"/>
  <c r="E12" i="14"/>
  <c r="D12" i="14"/>
  <c r="E11" i="14"/>
  <c r="D11" i="14"/>
  <c r="E10" i="14"/>
  <c r="D10" i="14"/>
  <c r="E9" i="14"/>
  <c r="D9" i="14"/>
  <c r="E14" i="17"/>
  <c r="D14" i="17"/>
  <c r="E13" i="17"/>
  <c r="D13" i="17"/>
  <c r="E12" i="17"/>
  <c r="D12" i="17"/>
  <c r="E11" i="17"/>
  <c r="D11" i="17"/>
  <c r="E10" i="17"/>
  <c r="D10" i="17"/>
  <c r="E9" i="17"/>
  <c r="D9" i="17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33" i="7"/>
  <c r="E34" i="7"/>
  <c r="E35" i="7"/>
  <c r="E36" i="7"/>
  <c r="E37" i="7"/>
  <c r="E38" i="7"/>
  <c r="D33" i="7"/>
  <c r="D34" i="7"/>
  <c r="D35" i="7"/>
  <c r="D36" i="7"/>
  <c r="D37" i="7"/>
  <c r="D38" i="7"/>
  <c r="E32" i="7"/>
  <c r="D32" i="7"/>
  <c r="D42" i="8" l="1"/>
  <c r="D43" i="8"/>
  <c r="D44" i="8"/>
  <c r="D45" i="8"/>
  <c r="D46" i="8"/>
  <c r="D47" i="8"/>
  <c r="D27" i="7" l="1"/>
  <c r="D28" i="7"/>
  <c r="D29" i="7"/>
  <c r="D26" i="7"/>
  <c r="D3" i="17"/>
  <c r="D2" i="17"/>
  <c r="D2" i="16" l="1"/>
  <c r="D15" i="7" l="1"/>
  <c r="D16" i="7"/>
  <c r="D17" i="7"/>
  <c r="D18" i="7"/>
  <c r="D19" i="7"/>
  <c r="D20" i="7"/>
  <c r="D21" i="7"/>
  <c r="D22" i="7"/>
  <c r="D23" i="7"/>
  <c r="D24" i="7"/>
  <c r="D25" i="7"/>
  <c r="C4" i="15" l="1"/>
  <c r="C3" i="15"/>
  <c r="C2" i="15"/>
  <c r="D5" i="14" l="1"/>
  <c r="D4" i="14"/>
  <c r="D3" i="14"/>
  <c r="D2" i="14"/>
  <c r="D5" i="13"/>
  <c r="D4" i="13"/>
  <c r="D3" i="13"/>
  <c r="D2" i="13"/>
  <c r="D10" i="12"/>
  <c r="D9" i="12"/>
  <c r="D8" i="12"/>
  <c r="D7" i="12"/>
  <c r="D6" i="12"/>
  <c r="D5" i="12"/>
  <c r="D4" i="12"/>
  <c r="D3" i="12"/>
  <c r="D2" i="12"/>
  <c r="D10" i="11"/>
  <c r="D9" i="11"/>
  <c r="D8" i="11"/>
  <c r="D7" i="11"/>
  <c r="D6" i="11"/>
  <c r="D5" i="11"/>
  <c r="D4" i="11"/>
  <c r="D3" i="11"/>
  <c r="D2" i="11"/>
  <c r="D4" i="10"/>
  <c r="D3" i="10"/>
  <c r="D2" i="10"/>
  <c r="D13" i="9"/>
  <c r="D12" i="9"/>
  <c r="D11" i="9"/>
  <c r="D10" i="9"/>
  <c r="D9" i="9"/>
  <c r="D8" i="9"/>
  <c r="D7" i="9"/>
  <c r="D6" i="9"/>
  <c r="D5" i="9"/>
  <c r="D4" i="9"/>
  <c r="D3" i="9"/>
  <c r="D2" i="9"/>
  <c r="C3" i="3"/>
  <c r="C4" i="3"/>
  <c r="C5" i="3"/>
  <c r="C6" i="3"/>
  <c r="C7" i="3"/>
  <c r="C8" i="3"/>
  <c r="C9" i="3"/>
  <c r="C3" i="4"/>
  <c r="D3" i="5"/>
  <c r="D4" i="5"/>
  <c r="D5" i="5"/>
  <c r="D6" i="5"/>
  <c r="C3" i="6"/>
  <c r="C4" i="6"/>
  <c r="D3" i="7"/>
  <c r="D4" i="7"/>
  <c r="D5" i="7"/>
  <c r="D6" i="7"/>
  <c r="D7" i="7"/>
  <c r="D8" i="7"/>
  <c r="D9" i="7"/>
  <c r="D10" i="7"/>
  <c r="D11" i="7"/>
  <c r="D12" i="7"/>
  <c r="D13" i="7"/>
  <c r="D14" i="7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2" i="8"/>
  <c r="D2" i="7"/>
  <c r="C2" i="6"/>
  <c r="D2" i="5"/>
  <c r="C2" i="4"/>
  <c r="C2" i="3" l="1"/>
</calcChain>
</file>

<file path=xl/sharedStrings.xml><?xml version="1.0" encoding="utf-8"?>
<sst xmlns="http://schemas.openxmlformats.org/spreadsheetml/2006/main" count="617" uniqueCount="338">
  <si>
    <t>md文件</t>
    <phoneticPr fontId="1" type="noConversion"/>
  </si>
  <si>
    <t>Summary 目录</t>
    <phoneticPr fontId="1" type="noConversion"/>
  </si>
  <si>
    <t>目录</t>
    <phoneticPr fontId="1" type="noConversion"/>
  </si>
  <si>
    <t>polars-学习</t>
    <phoneticPr fontId="1" type="noConversion"/>
  </si>
  <si>
    <t>Hive</t>
    <phoneticPr fontId="1" type="noConversion"/>
  </si>
  <si>
    <t>Hive---HQL支持的2种查询语句风格，你喜欢哪一种？.md</t>
    <phoneticPr fontId="1" type="noConversion"/>
  </si>
  <si>
    <t>Hive-数据聚合成键值对时，根据值大小进行排序.md</t>
    <phoneticPr fontId="1" type="noConversion"/>
  </si>
  <si>
    <t>Hive-中把一行记录拆分为多行记录.md</t>
    <phoneticPr fontId="1" type="noConversion"/>
  </si>
  <si>
    <t>Hive中的常用函数.md</t>
    <phoneticPr fontId="1" type="noConversion"/>
  </si>
  <si>
    <t>Hive-中的各种常用set设置.md</t>
    <phoneticPr fontId="1" type="noConversion"/>
  </si>
  <si>
    <t>Hive中对相邻访问时间进行归并分组.md</t>
    <phoneticPr fontId="1" type="noConversion"/>
  </si>
  <si>
    <t>Hive中各种日期格式转换方法总结.md</t>
    <phoneticPr fontId="1" type="noConversion"/>
  </si>
  <si>
    <t>EXCEL数据处理-VBA</t>
    <phoneticPr fontId="1" type="noConversion"/>
  </si>
  <si>
    <t>Excel中的标准差stdev-S和stdev-P区别.md</t>
    <phoneticPr fontId="1" type="noConversion"/>
  </si>
  <si>
    <t>数据去重-----VBA字典法.md</t>
    <phoneticPr fontId="1" type="noConversion"/>
  </si>
  <si>
    <t>Linux</t>
    <phoneticPr fontId="1" type="noConversion"/>
  </si>
  <si>
    <t>Linux-（Centos-7）中-Anaconda环境管理，安装不同的版本Python包.md</t>
    <phoneticPr fontId="1" type="noConversion"/>
  </si>
  <si>
    <t>Linux之NTFS、FAT32、exFAT-各种格式硬盘挂载整理.md</t>
    <phoneticPr fontId="1" type="noConversion"/>
  </si>
  <si>
    <t>SecureCRT利用Python脚本自动登陆服务器，自动验证Google-Authenticator动态验证码.md</t>
    <phoneticPr fontId="1" type="noConversion"/>
  </si>
  <si>
    <t>数据分析师常用的-Linux-命令总结.md</t>
    <phoneticPr fontId="1" type="noConversion"/>
  </si>
  <si>
    <t>在Linux服务器上部署Jupyter-notebook.md</t>
    <phoneticPr fontId="1" type="noConversion"/>
  </si>
  <si>
    <t>NLP</t>
    <phoneticPr fontId="1" type="noConversion"/>
  </si>
  <si>
    <t>Python-除了结巴分词，还有什么好用的中文分词工具？.md</t>
    <phoneticPr fontId="1" type="noConversion"/>
  </si>
  <si>
    <t>Python调用apiKey试玩ChatGPT.md</t>
    <phoneticPr fontId="1" type="noConversion"/>
  </si>
  <si>
    <t>自然语言处理（NLP）-Bert与Lstm结合.md</t>
    <phoneticPr fontId="1" type="noConversion"/>
  </si>
  <si>
    <t>Python基础库</t>
    <phoneticPr fontId="1" type="noConversion"/>
  </si>
  <si>
    <t>NumPy论文都已经登上了Nature，Pythoneer会用了吗？.md</t>
  </si>
  <si>
    <t>Python-math模块详解.md</t>
  </si>
  <si>
    <t>Python-标准库之pathlib，路径操作.md</t>
  </si>
  <si>
    <t>Python-标准库heapq，堆数据结构操作详解.md</t>
  </si>
  <si>
    <t>Python-基于ssh连接远程Mysql数据库.md</t>
  </si>
  <si>
    <t>Python-记录re正则模块，方便后期查找使用.md</t>
  </si>
  <si>
    <t>Python-内建模块-bisect，数组二分查找算法.md</t>
  </si>
  <si>
    <t>Python-扑克牌发牌游戏.md</t>
  </si>
  <si>
    <t>Python-中一个好用的地址解析工具cpca（chinese_province_city_area_mapper）.md</t>
  </si>
  <si>
    <t>Python-字典已经是有序的，你知道吗？.md</t>
  </si>
  <si>
    <t>Python利用partial偏函数，生成不同的聚合函数.md</t>
  </si>
  <si>
    <t>Python内置的-os-模块常用函数、方法.md</t>
  </si>
  <si>
    <t>Python数据处理</t>
    <phoneticPr fontId="1" type="noConversion"/>
  </si>
  <si>
    <t>对比Excel，利用pandas进行数据分析各种用法.md</t>
  </si>
  <si>
    <t>对csv文件，又get了新的认知.md</t>
  </si>
  <si>
    <t>对csv文件，又get了新的认知（二）.md</t>
  </si>
  <si>
    <t>历史双色球数据分析---python.md</t>
  </si>
  <si>
    <t>利用Python计算两个地理位置之间的中点.md</t>
  </si>
  <si>
    <t>利用Python模拟Excel数据透视表具有“值显示方式”功能.md</t>
  </si>
  <si>
    <t>像excel透视表一样使用pandas透视函数.md</t>
  </si>
  <si>
    <t>Numpy中的shuffle和permutation区别.md</t>
  </si>
  <si>
    <t>pandas-错误提醒：FutureWarning--elementwise-comparison-failed;.md</t>
  </si>
  <si>
    <t>Pandas数据处理误区要知其然知其所以然.md</t>
  </si>
  <si>
    <t>Python--Numpy中的范数.md</t>
  </si>
  <si>
    <t>Python-把csv文件转换为excel文件.md</t>
  </si>
  <si>
    <t>Python-常用的加解密算法实例应用.md</t>
  </si>
  <si>
    <t>Python-处理Excel文件为了通用原则，建议用openpyxl库.md</t>
  </si>
  <si>
    <t>Python-多线程，真实使用代码.md</t>
  </si>
  <si>
    <t>Python-基于datetime库的日期时间数据处理.md</t>
  </si>
  <si>
    <t>Python-利用aiohttp异步流式下载文件.md</t>
  </si>
  <si>
    <t>Python-利用Pandas把数据直接导入Mysql.md</t>
  </si>
  <si>
    <t>Python-利用pandas对数据进行特定排序.md</t>
  </si>
  <si>
    <t>Python-两个字典如何实现相加？（相同的键，值相加）.md</t>
  </si>
  <si>
    <t>Python-小知识系列（一）.md</t>
  </si>
  <si>
    <t>Python-字符串格式化方法总结.md</t>
  </si>
  <si>
    <t>Python-jupyter-常用语句汇总.md</t>
  </si>
  <si>
    <t>Python-pandas-2-0-初探.md</t>
  </si>
  <si>
    <t>Python-pandas-里面的数据类型坑，astype要慎用.md</t>
  </si>
  <si>
    <t>Python-pandas-数据筛选与赋值升级版详解.md</t>
  </si>
  <si>
    <t>Python-pandas-数据无法正常分列.md</t>
  </si>
  <si>
    <t>Python-pandas-str-replace-不起作用.md</t>
  </si>
  <si>
    <t>Python-pandas遍历行数据的2种方法.md</t>
  </si>
  <si>
    <t>Python-pandas数据分列，分割符号&amp;固定宽度.md</t>
  </si>
  <si>
    <t>Python-pandas数据计数函数value_counts.md</t>
  </si>
  <si>
    <t>Python-pandas在读取csv文件时（linux与windows之间传输），数据行数不一致的问题.md</t>
  </si>
  <si>
    <t>Python常用语句汇总.md</t>
  </si>
  <si>
    <t>Python加载txt数据乱码问题升级版解决方法.md</t>
  </si>
  <si>
    <t>Python数据处理中-pd-concat-与-pd-merge-区别.md</t>
  </si>
  <si>
    <t>Python数据预处理中One-Hot编码的方法.md</t>
  </si>
  <si>
    <t>Python通过修改系统注册表，强制设置Excel宏信任级别.md</t>
  </si>
  <si>
    <t>Python用xlwings库处理Excel.md</t>
  </si>
  <si>
    <t>Python中的Lambda匿名函数.md</t>
  </si>
  <si>
    <t>Pythonner还在为了练习Numpy而没有真实数据而烦恼吗？.md</t>
  </si>
  <si>
    <t>Python图像处理</t>
  </si>
  <si>
    <t>利用Python-自己动手制作动漫效果图片.md</t>
  </si>
  <si>
    <t>利用Python对图片进行马赛克处理.md</t>
  </si>
  <si>
    <t>利用Python对图片进行模糊化处理.md</t>
  </si>
  <si>
    <t>Python---opencv一次读取视频里面多张视频帧.md</t>
  </si>
  <si>
    <t>Python-人脸检测方法总结.md</t>
  </si>
  <si>
    <t>Python基于opencv-“三维”旋转图片，解决日常小问题.md</t>
  </si>
  <si>
    <t>数据采集</t>
  </si>
  <si>
    <t>Python-利用协程采集想看的《人世间》下载地址.md</t>
    <phoneticPr fontId="1" type="noConversion"/>
  </si>
  <si>
    <t>Python-中一个好用的股票开源库akshare.md</t>
    <phoneticPr fontId="1" type="noConversion"/>
  </si>
  <si>
    <t>数据分析与挖掘</t>
  </si>
  <si>
    <t>《精益数据分析》读书分享-----增长引擎说.md</t>
  </si>
  <si>
    <t>不同岗位的数据分析人员，可能使用不同的分析方法.md</t>
  </si>
  <si>
    <t>传统统计分析在Python中的使用.md</t>
  </si>
  <si>
    <t>机器学习-决策树原理-Python.md</t>
  </si>
  <si>
    <t>机器学习算法总结.md</t>
  </si>
  <si>
    <t>机器学习之sklearn-feature_selection-chi2基于卡方，特征筛选详解.md</t>
  </si>
  <si>
    <t>利用熵值法确定指标权重---原理及Python实现.md</t>
  </si>
  <si>
    <t>Python-利用数据分布直方图来确定合适的阈值.md</t>
  </si>
  <si>
    <t>Python-如何确定K-Means聚类的簇数.md</t>
  </si>
  <si>
    <t>数据可视化</t>
  </si>
  <si>
    <t>利用Python+PyEcharts画出《人民日报》各国疫情图.md</t>
  </si>
  <si>
    <t>利用Python画出《人民日报》各国疫情图——南丁格尔玫瑰图.md</t>
  </si>
  <si>
    <t>罗兰贝格图--Python等高线图（平滑处理）.md</t>
  </si>
  <si>
    <t>Matplotlib-自定义函数实现左边柱形图，右边饼图.md</t>
  </si>
  <si>
    <t>Python-基于pyecharts自定义经纬度热力图可视化.md</t>
  </si>
  <si>
    <t>Python-利用Matplotlib制作初中时圆规画的图.md</t>
  </si>
  <si>
    <t>Python文件打包成exe可执行程序.md</t>
    <phoneticPr fontId="1" type="noConversion"/>
  </si>
  <si>
    <t>数学知识</t>
  </si>
  <si>
    <t>分类问题中Sigmoid-与-Softmax-区别.md</t>
  </si>
  <si>
    <t>利用Python枚举所有的排列情况.md</t>
  </si>
  <si>
    <t>让ChatGPT回答闰年的计算逻辑.md</t>
  </si>
  <si>
    <t>Python-使用sklearn计算余弦相似度.md</t>
  </si>
  <si>
    <t>Python利用枚举法，解决一道面试算法题.md</t>
  </si>
  <si>
    <t>随笔</t>
    <phoneticPr fontId="1" type="noConversion"/>
  </si>
  <si>
    <t>工欲善其事必先利其器.md</t>
    <phoneticPr fontId="1" type="noConversion"/>
  </si>
  <si>
    <t>吴军老师的《计算之魂》部分重点摘要.md</t>
    <phoneticPr fontId="1" type="noConversion"/>
  </si>
  <si>
    <t>文章名称</t>
    <phoneticPr fontId="1" type="noConversion"/>
  </si>
  <si>
    <t>Python_polars学习-01_读取与写入文件.md</t>
    <phoneticPr fontId="1" type="noConversion"/>
  </si>
  <si>
    <t>Python_polars学习-02_上下文与表达式.md</t>
  </si>
  <si>
    <t>Python_polars学习-03_数据类型转换.md</t>
    <phoneticPr fontId="1" type="noConversion"/>
  </si>
  <si>
    <t>Python_polars学习-04_字符串数据处理.md</t>
    <phoneticPr fontId="1" type="noConversion"/>
  </si>
  <si>
    <t>Python_polars学习-05_包含的数据结构.md</t>
    <phoneticPr fontId="1" type="noConversion"/>
  </si>
  <si>
    <t>Python_polars学习-06_Lazy-Eager-API.md</t>
    <phoneticPr fontId="1" type="noConversion"/>
  </si>
  <si>
    <t>Python_polars学习-07_缺失值.md</t>
    <phoneticPr fontId="1" type="noConversion"/>
  </si>
  <si>
    <t>Python_polars学习-08_分类数据处理.md</t>
    <phoneticPr fontId="1" type="noConversion"/>
  </si>
  <si>
    <t>Python_polars学习-09_数据框关联与拼接.md</t>
    <phoneticPr fontId="1" type="noConversion"/>
  </si>
  <si>
    <t>Clickhouse</t>
    <phoneticPr fontId="1" type="noConversion"/>
  </si>
  <si>
    <t>Clickhouse-读取存储在hdfs的hive表数据.md</t>
    <phoneticPr fontId="1" type="noConversion"/>
  </si>
  <si>
    <t>Clickhouse-基础使用教程.md</t>
    <phoneticPr fontId="1" type="noConversion"/>
  </si>
  <si>
    <t>Clickhouse中创建生成日期序列自定义函数.md</t>
    <phoneticPr fontId="1" type="noConversion"/>
  </si>
  <si>
    <t>hadoop-常用命令总结.md</t>
    <phoneticPr fontId="1" type="noConversion"/>
  </si>
  <si>
    <t>基于DeepSeek，构建个人本地RAG知识库.md</t>
    <phoneticPr fontId="1" type="noConversion"/>
  </si>
  <si>
    <t>Python-polars学习-11-用户自定义函数.md</t>
    <phoneticPr fontId="1" type="noConversion"/>
  </si>
  <si>
    <t>Python-polars学习-10-时间序列类型.md</t>
    <phoneticPr fontId="1" type="noConversion"/>
  </si>
  <si>
    <t>Python-利用4行代码实现图片灰度化.md</t>
    <phoneticPr fontId="1" type="noConversion"/>
  </si>
  <si>
    <t>Python-利用聚类算法对图片进行颜色压缩.md</t>
    <phoneticPr fontId="1" type="noConversion"/>
  </si>
  <si>
    <t>Python-微信头像添加国旗.md</t>
    <phoneticPr fontId="1" type="noConversion"/>
  </si>
  <si>
    <t>Python-一个在本地给图片添加水印的小工具.md</t>
    <phoneticPr fontId="1" type="noConversion"/>
  </si>
  <si>
    <t>利用Python生成手绘效果的图片.md</t>
    <phoneticPr fontId="1" type="noConversion"/>
  </si>
  <si>
    <t>《Python-编程从新手到高手》知识点.md</t>
    <phoneticPr fontId="1" type="noConversion"/>
  </si>
  <si>
    <t>Python-单实例模式详解.md</t>
    <phoneticPr fontId="1" type="noConversion"/>
  </si>
  <si>
    <t>Python函数参数：列表作为默认值，一个隐藏的陷阱！.md</t>
    <phoneticPr fontId="1" type="noConversion"/>
  </si>
  <si>
    <t>Python-函数参数类型与使用规则详解.md</t>
    <phoneticPr fontId="1" type="noConversion"/>
  </si>
  <si>
    <t>Python-利用协程整合IPTV直播源.md</t>
  </si>
  <si>
    <t>Rust-是否会重写-Python-解释器与有关的库，替代-C-语言地位？.md</t>
    <phoneticPr fontId="1" type="noConversion"/>
  </si>
  <si>
    <t>从互联网+，到DeepSeek+，新一轮的技术变革.md</t>
    <phoneticPr fontId="1" type="noConversion"/>
  </si>
  <si>
    <t>Web</t>
    <phoneticPr fontId="1" type="noConversion"/>
  </si>
  <si>
    <t>Python中一个构建-web-页面的神奇库-streamlit.md</t>
    <phoneticPr fontId="1" type="noConversion"/>
  </si>
  <si>
    <t>Python-基于Matplotlib制作动态图.md</t>
    <phoneticPr fontId="1" type="noConversion"/>
  </si>
  <si>
    <t>Python-基于plotly库快速画旭日图.md</t>
    <phoneticPr fontId="1" type="noConversion"/>
  </si>
  <si>
    <t>Python-基于plotly库快速绘制时间线图.md</t>
    <phoneticPr fontId="1" type="noConversion"/>
  </si>
  <si>
    <t>管理的精髓.md</t>
    <phoneticPr fontId="1" type="noConversion"/>
  </si>
  <si>
    <t>大模型相关</t>
    <phoneticPr fontId="1" type="noConversion"/>
  </si>
  <si>
    <t>尝试-gemini-cli，在本地开发俄罗斯方块.md</t>
    <phoneticPr fontId="1" type="noConversion"/>
  </si>
  <si>
    <t>Python-3-14-无GIL解释器性能测试：释放多核CPU的并行潜力.md</t>
    <phoneticPr fontId="1" type="noConversion"/>
  </si>
  <si>
    <t>利用Python实现二维码自由.md</t>
    <phoneticPr fontId="1" type="noConversion"/>
  </si>
  <si>
    <t>Python-2个好用的装饰器函数.md</t>
    <phoneticPr fontId="1" type="noConversion"/>
  </si>
  <si>
    <t>Python-collections详解：解锁高效数据结构.md</t>
    <phoneticPr fontId="1" type="noConversion"/>
  </si>
  <si>
    <t>Python-标准库之pathlib（二），路径操作.md</t>
    <phoneticPr fontId="1" type="noConversion"/>
  </si>
  <si>
    <t>Python-基于协程的端口扫描工具.md</t>
    <phoneticPr fontId="1" type="noConversion"/>
  </si>
  <si>
    <t>Python-利用-uv-“一键”-快速部署服务.md</t>
    <phoneticPr fontId="1" type="noConversion"/>
  </si>
  <si>
    <t>Python-迈向强类型化的优雅转变.md</t>
    <phoneticPr fontId="1" type="noConversion"/>
  </si>
  <si>
    <t>Python-项目管理新思路：用-uv-Workspace-共享虚拟环境，省时省空间！.md</t>
    <phoneticPr fontId="1" type="noConversion"/>
  </si>
  <si>
    <t>Python-新晋包项目工具uv的简单尝试.md</t>
    <phoneticPr fontId="1" type="noConversion"/>
  </si>
  <si>
    <t>Python-在指定文件夹安装三方库，并进行加载使用.md</t>
    <phoneticPr fontId="1" type="noConversion"/>
  </si>
  <si>
    <t>Python-Pandas导出Excel时保留URL为纯文本的完美方案.md</t>
    <phoneticPr fontId="1" type="noConversion"/>
  </si>
  <si>
    <t>Python-基于hdfs路径统计hive表存储信息.md</t>
    <phoneticPr fontId="1" type="noConversion"/>
  </si>
  <si>
    <t>Python-基于OpenList接口下载夸克网盘资源.md</t>
    <phoneticPr fontId="1" type="noConversion"/>
  </si>
  <si>
    <t>Python-基于pyhive库操作hive.md</t>
    <phoneticPr fontId="1" type="noConversion"/>
  </si>
  <si>
    <t>Python-小知识系列-2.md</t>
    <phoneticPr fontId="1" type="noConversion"/>
  </si>
  <si>
    <t>历史相关文章</t>
  </si>
  <si>
    <t>历史相关文章</t>
    <phoneticPr fontId="1" type="noConversion"/>
  </si>
  <si>
    <t>Python-pandas中重排列与列重名.md</t>
    <phoneticPr fontId="1" type="noConversion"/>
  </si>
  <si>
    <t>增加日期：</t>
    <phoneticPr fontId="1" type="noConversion"/>
  </si>
  <si>
    <t>20260204-Python-装饰器的灵活实现：带参数与不带参数.md</t>
    <phoneticPr fontId="1" type="noConversion"/>
  </si>
  <si>
    <t>20260228-现代Python全栈分布式数据计算：Ray、Daft与Lance的探索.md</t>
    <phoneticPr fontId="1" type="noConversion"/>
  </si>
  <si>
    <t>20260313-OpenClaw使用体验.md</t>
    <phoneticPr fontId="1" type="noConversion"/>
  </si>
  <si>
    <t>20260320-VibeCoding完全指南：2026年，我们用“感觉”写代码.md</t>
    <phoneticPr fontId="1" type="noConversion"/>
  </si>
  <si>
    <t>20260326-Vibe_Coding初体验：用AI辅助开发一款心情打卡小程序.md</t>
    <phoneticPr fontId="1" type="noConversion"/>
  </si>
  <si>
    <t>20260410-Python与Rust类型参数对比：从TypeVar到泛型T.md</t>
    <phoneticPr fontId="1" type="noConversion"/>
  </si>
  <si>
    <t>20260421-告别焦虑，借助AI深化技术学习.md</t>
    <phoneticPr fontId="1" type="noConversion"/>
  </si>
  <si>
    <t>20260424-Python异步编程与CPU密集型任务的优雅解法.md</t>
  </si>
  <si>
    <t>20260430-Python-本地给图片添加水印的GUI小工具.md</t>
    <phoneticPr fontId="1" type="noConversion"/>
  </si>
  <si>
    <t>20260506-1度电，到底能炼出多少Tokens.md</t>
    <phoneticPr fontId="1" type="noConversion"/>
  </si>
  <si>
    <t>mdbook-Summary 目录</t>
    <phoneticPr fontId="1" type="noConversion"/>
  </si>
  <si>
    <t>mdbook-历史相关文章</t>
    <phoneticPr fontId="1" type="noConversion"/>
  </si>
  <si>
    <t>Astro-历史相关文章</t>
    <phoneticPr fontId="1" type="noConversion"/>
  </si>
  <si>
    <t>md-历史相关文章</t>
    <phoneticPr fontId="1" type="noConversion"/>
  </si>
  <si>
    <t>titile-文章标题</t>
    <phoneticPr fontId="1" type="noConversion"/>
  </si>
  <si>
    <t>Linux之NTFS、FAT32、exFAT-各种格式硬盘挂载整理</t>
  </si>
  <si>
    <t>SecureCRT利用Python脚本自动登陆服务器，自动验证Google-Authenticator动态验证码</t>
  </si>
  <si>
    <t>NumPy论文都已经登上了Nature，Pythoneer会用了吗？</t>
  </si>
  <si>
    <t>Python利用partial偏函数，生成不同的聚合函数</t>
  </si>
  <si>
    <t>Python文件打包成exe可执行程序</t>
  </si>
  <si>
    <t>对比Excel，利用pandas进行数据分析各种用法</t>
  </si>
  <si>
    <t>对csv文件，又get了新的认知</t>
  </si>
  <si>
    <t>对csv文件，又get了新的认知（二）</t>
  </si>
  <si>
    <t>历史双色球数据分析---python</t>
  </si>
  <si>
    <t>利用Python计算两个地理位置之间的中点</t>
  </si>
  <si>
    <t>利用Python模拟Excel数据透视表具有“值显示方式”功能</t>
  </si>
  <si>
    <t>像excel透视表一样使用pandas透视函数</t>
  </si>
  <si>
    <t>Numpy中的shuffle和permutation区别</t>
  </si>
  <si>
    <t>pandas-错误提醒：FutureWarning--elementwise-comparison-failed;</t>
  </si>
  <si>
    <t>Pandas数据处理误区要知其然知其所以然</t>
  </si>
  <si>
    <t>Python加载txt数据乱码问题升级版解决方法</t>
  </si>
  <si>
    <t>Python通过修改系统注册表，强制设置Excel宏信任级别</t>
  </si>
  <si>
    <t>Python用xlwings库处理Excel</t>
  </si>
  <si>
    <t>Python中的Lambda匿名函数</t>
  </si>
  <si>
    <t>Pythonner还在为了练习Numpy而没有真实数据而烦恼吗？</t>
  </si>
  <si>
    <t>利用Python对图片进行马赛克处理</t>
  </si>
  <si>
    <t>利用Python对图片进行模糊化处理</t>
  </si>
  <si>
    <t>利用Python生成手绘效果的图片</t>
  </si>
  <si>
    <t>利用Python实现二维码自由</t>
  </si>
  <si>
    <t>不同岗位的数据分析人员，可能使用不同的分析方法</t>
  </si>
  <si>
    <t>传统统计分析在Python中的使用</t>
  </si>
  <si>
    <t>机器学习算法总结</t>
  </si>
  <si>
    <t>利用Python+PyEcharts画出《人民日报》各国疫情图</t>
  </si>
  <si>
    <t>利用Python画出《人民日报》各国疫情图——南丁格尔玫瑰图</t>
  </si>
  <si>
    <t>利用Python枚举所有的排列情况</t>
  </si>
  <si>
    <t>Python利用枚举法，解决一道面试算法题</t>
  </si>
  <si>
    <t>工欲善其事必先利其器</t>
  </si>
  <si>
    <t>吴军老师的《计算之魂》部分重点摘要</t>
  </si>
  <si>
    <t>从互联网+，到DeepSeek+，新一轮的技术变革</t>
  </si>
  <si>
    <t>管理的精髓</t>
  </si>
  <si>
    <t>Python Numpy中的范数</t>
    <phoneticPr fontId="1" type="noConversion"/>
  </si>
  <si>
    <t>Python 把csv文件转换为excel文件</t>
  </si>
  <si>
    <t>Python 常用的加解密算法实例应用</t>
  </si>
  <si>
    <t>Python 处理Excel文件为了通用原则，建议用openpyxl库</t>
  </si>
  <si>
    <t>Python 多线程，真实使用代码</t>
  </si>
  <si>
    <t>Python 基于datetime库的日期时间数据处理</t>
  </si>
  <si>
    <t>Python 利用aiohttp异步流式下载文件</t>
  </si>
  <si>
    <t>Python 利用Pandas把数据直接导入Mysql</t>
  </si>
  <si>
    <t>Python 利用pandas对数据进行特定排序</t>
  </si>
  <si>
    <t>Python 两个字典如何实现相加？（相同的键，值相加）</t>
  </si>
  <si>
    <t>Python 小知识系列（一）</t>
  </si>
  <si>
    <t>Python 字符串格式化方法总结</t>
  </si>
  <si>
    <t>Python jupyter 常用语句汇总</t>
  </si>
  <si>
    <t>Python pandas 里面的数据类型坑，astype要慎用</t>
  </si>
  <si>
    <t>Python pandas 数据筛选与赋值升级版详解</t>
  </si>
  <si>
    <t>Python pandas 数据无法正常分列</t>
  </si>
  <si>
    <t>Python pandas遍历行数据的2种方法</t>
  </si>
  <si>
    <t>Python pandas数据分列，分割符号&amp;固定宽度</t>
  </si>
  <si>
    <t>Python pandas数据计数函数value_counts</t>
  </si>
  <si>
    <t>Python pandas在读取csv文件时（linux与windows之间传输），数据行数不一致的问题</t>
  </si>
  <si>
    <t>Python数据预处理中One Hot编码的方法</t>
  </si>
  <si>
    <t>Python pandas中重排列与列重名</t>
  </si>
  <si>
    <t>Python Pandas导出Excel时保留URL为纯文本的完美方案</t>
  </si>
  <si>
    <t>Python 基于hdfs路径统计hive表存储信息</t>
  </si>
  <si>
    <t>Python 基于OpenList接口下载夸克网盘资源</t>
  </si>
  <si>
    <t>Python 基于pyhive库操作hive</t>
  </si>
  <si>
    <t>Python pandas.2.0 初探</t>
    <phoneticPr fontId="1" type="noConversion"/>
  </si>
  <si>
    <t>Python pandas.str.replace 不起作用</t>
    <phoneticPr fontId="1" type="noConversion"/>
  </si>
  <si>
    <t>Python数据处理中 pd.concat 与 pd.merge 区别</t>
    <phoneticPr fontId="1" type="noConversion"/>
  </si>
  <si>
    <t>Python 小知识系列-2</t>
    <phoneticPr fontId="1" type="noConversion"/>
  </si>
  <si>
    <t>titile 文章标题</t>
  </si>
  <si>
    <t>Python 标准库之pathlib，路径操作</t>
  </si>
  <si>
    <t>Python 标准库heapq，堆数据结构操作详解</t>
  </si>
  <si>
    <t>Python 基于ssh连接远程Mysql数据库</t>
  </si>
  <si>
    <t>Python 记录re正则模块，方便后期查找使用</t>
  </si>
  <si>
    <t>Python 内建模块 bisect，数组二分查找算法</t>
  </si>
  <si>
    <t>Python 扑克牌发牌游戏</t>
  </si>
  <si>
    <t>Python 中一个好用的地址解析工具cpca（chinese_province_city_area_mapper）</t>
  </si>
  <si>
    <t>Python 字典已经是有序的，你知道吗？</t>
  </si>
  <si>
    <t>Python math模块详解</t>
  </si>
  <si>
    <t>Python内置的 os 模块常用函数、方法</t>
  </si>
  <si>
    <t>《Python 编程从新手到高手》知识点</t>
  </si>
  <si>
    <t>Python 单实例模式详解</t>
  </si>
  <si>
    <t>Python 函数参数类型与使用规则详解</t>
  </si>
  <si>
    <t>Rust 是否会重写 Python 解释器与有关的库，替代 C 语言地位？</t>
  </si>
  <si>
    <t>Python 2个好用的装饰器函数</t>
  </si>
  <si>
    <t>Python collections详解：解锁高效数据结构</t>
  </si>
  <si>
    <t>Python 标准库之pathlib（二），路径操作</t>
  </si>
  <si>
    <t>Python 基于协程的端口扫描工具</t>
  </si>
  <si>
    <t>Python 利用 uv “一键” 快速部署服务</t>
  </si>
  <si>
    <t>Python 迈向强类型化的优雅转变</t>
  </si>
  <si>
    <t>Python 项目管理新思路：用 uv Workspace 共享虚拟环境，省时省空间！</t>
  </si>
  <si>
    <t>Python 新晋包项目工具uv的简单尝试</t>
  </si>
  <si>
    <t>Python 在指定文件夹安装三方库，并进行加载使用</t>
  </si>
  <si>
    <t>Python 装饰器的灵活实现：带参数与不带参数</t>
    <phoneticPr fontId="1" type="noConversion"/>
  </si>
  <si>
    <t>Python与Rust类型参数对比：从TypeVar到泛型T</t>
    <phoneticPr fontId="1" type="noConversion"/>
  </si>
  <si>
    <t>Python 函数参数：列表作为默认值，一个隐藏的陷阱！</t>
    <phoneticPr fontId="1" type="noConversion"/>
  </si>
  <si>
    <t>Python 3.14 无GIL解释器性能测试：释放多核CPU的并行潜力</t>
    <phoneticPr fontId="1" type="noConversion"/>
  </si>
  <si>
    <t>利用Python 自己动手制作动漫效果图片</t>
  </si>
  <si>
    <t>Python 人脸检测方法总结</t>
  </si>
  <si>
    <t>Python 利用4行代码实现图片灰度化</t>
  </si>
  <si>
    <t>Python 利用聚类算法对图片进行颜色压缩</t>
  </si>
  <si>
    <t>Python 微信头像添加国旗</t>
  </si>
  <si>
    <t>Python 一个在本地给图片添加水印的小工具</t>
  </si>
  <si>
    <t>Python 本地给图片添加水印的GUI小工具</t>
    <phoneticPr fontId="1" type="noConversion"/>
  </si>
  <si>
    <t>Python基于 opencv “三维”旋转图片，解决日常小问题</t>
    <phoneticPr fontId="1" type="noConversion"/>
  </si>
  <si>
    <t>Python opencv一次读取视频里面多张视频帧</t>
    <phoneticPr fontId="1" type="noConversion"/>
  </si>
  <si>
    <t>Python 利用协程采集想看的《人世间》下载地址</t>
    <phoneticPr fontId="1" type="noConversion"/>
  </si>
  <si>
    <t>Python中一个好用的股票开源库akshare</t>
    <phoneticPr fontId="1" type="noConversion"/>
  </si>
  <si>
    <t>Python 利用协程整合IPTV直播源</t>
    <phoneticPr fontId="1" type="noConversion"/>
  </si>
  <si>
    <t>分类问题中 Sigmoid与Softmax 区别</t>
    <phoneticPr fontId="1" type="noConversion"/>
  </si>
  <si>
    <t>Python 使用sklearn计算余弦相似度</t>
    <phoneticPr fontId="1" type="noConversion"/>
  </si>
  <si>
    <t>Python 常用语句汇总</t>
    <phoneticPr fontId="1" type="noConversion"/>
  </si>
  <si>
    <t>Linux-（Centos-7）中 Anaconda环境管理，安装不同的版本Python包</t>
    <phoneticPr fontId="1" type="noConversion"/>
  </si>
  <si>
    <t>数据分析师常用的 Linux 命令总结</t>
    <phoneticPr fontId="1" type="noConversion"/>
  </si>
  <si>
    <t>在Linux服务器上部署Jupyter notebook</t>
    <phoneticPr fontId="1" type="noConversion"/>
  </si>
  <si>
    <t>Python中一个构建 web 页面的神奇库 streamlit</t>
    <phoneticPr fontId="1" type="noConversion"/>
  </si>
  <si>
    <t>Python异步编程与CPU密集型任务的优雅解法</t>
    <phoneticPr fontId="1" type="noConversion"/>
  </si>
  <si>
    <t>罗兰贝格图  Python等高线图（平滑处理）</t>
  </si>
  <si>
    <t>Matplotlib 自定义函数实现左边柱形图，右边饼图</t>
  </si>
  <si>
    <t>Python 基于pyecharts自定义经纬度热力图可视化</t>
  </si>
  <si>
    <t>Python 利用Matplotlib制作初中时圆规画的图</t>
  </si>
  <si>
    <t>Python 基于Matplotlib制作动态图</t>
  </si>
  <si>
    <t>Python 基于plotly库快速画旭日图</t>
  </si>
  <si>
    <t>Python 基于plotly库快速绘制时间线图</t>
  </si>
  <si>
    <t>机器学习 决策树原理 Python</t>
  </si>
  <si>
    <t>利用熵值法确定指标权重   原理及Python实现</t>
  </si>
  <si>
    <t>Python 利用数据分布直方图来确定合适的阈值</t>
  </si>
  <si>
    <t>《精益数据分析》读书分享：增长引擎说</t>
    <phoneticPr fontId="1" type="noConversion"/>
  </si>
  <si>
    <t>机器学习之 sklearn.feature_selection.chi2 基于卡方，特征筛选详解</t>
    <phoneticPr fontId="1" type="noConversion"/>
  </si>
  <si>
    <t>Python 如何确定K-Means聚类的簇数</t>
    <phoneticPr fontId="1" type="noConversion"/>
  </si>
  <si>
    <t>告别焦虑，借助AI深化技术学习</t>
    <phoneticPr fontId="1" type="noConversion"/>
  </si>
  <si>
    <t>1度电，到底能炼出多少Tokens</t>
    <phoneticPr fontId="1" type="noConversion"/>
  </si>
  <si>
    <t>20260601-再见CSDN，再见简书：开源博客 + 大模型，让小白也能拥有理想中的个人博客站点.md</t>
    <phoneticPr fontId="1" type="noConversion"/>
  </si>
  <si>
    <t>再见CSDN，再见简书：开源博客 + 大模型，让小白也能拥有理想中的个人博客站点</t>
    <phoneticPr fontId="1" type="noConversion"/>
  </si>
  <si>
    <t>20260605-Python揭秘：北京2026新能源家庭指标，花落谁家？.md</t>
    <phoneticPr fontId="1" type="noConversion"/>
  </si>
  <si>
    <t>Python揭秘：北京2026新能源家庭指标，花落谁家？</t>
    <phoneticPr fontId="1" type="noConversion"/>
  </si>
  <si>
    <t>20260616-从超平面到分散式表示：传统机器学习与神经网络到底学到了什么？.md</t>
    <phoneticPr fontId="1" type="noConversion"/>
  </si>
  <si>
    <t>从超平面到分散式表示：传统机器学习与神经网络到底学到了什么？</t>
    <phoneticPr fontId="1" type="noConversion"/>
  </si>
  <si>
    <t>20260706-回顾协方差含义，利用Python进行计算.md</t>
    <phoneticPr fontId="1" type="noConversion"/>
  </si>
  <si>
    <t>回顾协方差含义，利用Python进行计算</t>
    <phoneticPr fontId="1" type="noConversion"/>
  </si>
  <si>
    <t>20260727-别被准确率骗了！深入解读 Informedness 与 Markedness 两大稳健评估指标.md</t>
    <phoneticPr fontId="1" type="noConversion"/>
  </si>
  <si>
    <t>别被准确率骗了！深入解读 Informedness 与 Markedness 两大稳健评估指标</t>
    <phoneticPr fontId="1" type="noConversion"/>
  </si>
  <si>
    <t>20260902-鸢尾花书系列与矩阵两个视角.md</t>
    <phoneticPr fontId="1" type="noConversion"/>
  </si>
  <si>
    <t>鸢尾花书系列与矩阵两个视角</t>
    <phoneticPr fontId="1" type="noConversion"/>
  </si>
  <si>
    <t>20261008-从小山走出来的人，去看大山的美.md</t>
    <phoneticPr fontId="1" type="noConversion"/>
  </si>
  <si>
    <t>从小山走出来的人，去看大山的美</t>
    <phoneticPr fontId="1" type="noConversion"/>
  </si>
  <si>
    <t>20261012-Python 3.15 正式发布：惰性导入、frozendict、sentinel、Tachyon 剖析器，一次全看懂.md</t>
    <phoneticPr fontId="1" type="noConversion"/>
  </si>
  <si>
    <t>Python 3.15 正式发布：惰性导入、frozendict、sentinel、Tachyon 剖析器，一次全看懂</t>
    <phoneticPr fontId="1" type="noConversion"/>
  </si>
  <si>
    <t>20261022-给Agent装上手脚，打通本地、数据集群与云运维.md</t>
    <phoneticPr fontId="1" type="noConversion"/>
  </si>
  <si>
    <t>OpenClaw使用体验</t>
    <phoneticPr fontId="1" type="noConversion"/>
  </si>
  <si>
    <t>VibeCoding完全指南：2026年，我们用“感觉”写代码</t>
    <phoneticPr fontId="1" type="noConversion"/>
  </si>
  <si>
    <t>Vibe_Coding初体验：用AI辅助开发一款心情打卡小程序</t>
    <phoneticPr fontId="1" type="noConversion"/>
  </si>
  <si>
    <t>给 Agent 装上手脚：本地控制、数据集群与云运维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</si>
</sst>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0" tint="-0.249977111117893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E11" sqref="E11"/>
    </sheetView>
  </sheetViews>
  <sheetFormatPr defaultRowHeight="16.5" x14ac:dyDescent="0.45"/>
  <cols>
    <col min="1" max="1" width="14.3046875" customWidth="1"/>
    <col min="2" max="2" width="37.3828125" customWidth="1"/>
    <col min="3" max="4" width="15.4609375" style="5" customWidth="1"/>
    <col min="5" max="5" width="55.765625" customWidth="1"/>
  </cols>
  <sheetData>
    <row r="1" spans="1:5" s="1" customFormat="1" x14ac:dyDescent="0.45">
      <c r="A1" s="1" t="s">
        <v>2</v>
      </c>
      <c r="B1" s="1" t="s">
        <v>116</v>
      </c>
      <c r="C1" s="4" t="s">
        <v>184</v>
      </c>
      <c r="D1" s="4" t="s">
        <v>187</v>
      </c>
      <c r="E1" s="1" t="s">
        <v>186</v>
      </c>
    </row>
    <row r="2" spans="1:5" x14ac:dyDescent="0.45">
      <c r="A2" t="s">
        <v>3</v>
      </c>
      <c r="B2" t="s">
        <v>117</v>
      </c>
      <c r="C2" s="5" t="str">
        <f t="shared" ref="C2:C12" si="0">"- ["&amp;LEFT(B2,LEN(B2)-3)&amp;"]("&amp;A2&amp;"/"&amp;B2&amp;")"</f>
        <v>- [Python_polars学习-01_读取与写入文件](polars-学习/Python_polars学习-01_读取与写入文件.md)</v>
      </c>
      <c r="D2" s="5" t="str">
        <f>"- ["&amp;SUBSTITUTE(B2,".md","")&amp;"](/"&amp;A2&amp;"/"&amp;B2&amp;")"</f>
        <v>- [Python_polars学习-01_读取与写入文件](/polars-学习/Python_polars学习-01_读取与写入文件.md)</v>
      </c>
      <c r="E2" t="str">
        <f t="shared" ref="E2:E12" si="1">"- ["&amp;LEFT(B2,LEN(B2)-3)&amp;"](../../"&amp;A2&amp;"/"&amp;LEFT(B2,LEN(B2)-3)&amp;"/)"</f>
        <v>- [Python_polars学习-01_读取与写入文件](../../polars-学习/Python_polars学习-01_读取与写入文件/)</v>
      </c>
    </row>
    <row r="3" spans="1:5" x14ac:dyDescent="0.45">
      <c r="A3" t="s">
        <v>3</v>
      </c>
      <c r="B3" t="s">
        <v>118</v>
      </c>
      <c r="C3" s="5" t="str">
        <f t="shared" si="0"/>
        <v>- [Python_polars学习-02_上下文与表达式](polars-学习/Python_polars学习-02_上下文与表达式.md)</v>
      </c>
      <c r="D3" s="5" t="str">
        <f t="shared" ref="D3:D4" si="2">"- ["&amp;SUBSTITUTE(B3,".md","")&amp;"](/"&amp;A3&amp;"/"&amp;B3&amp;")"</f>
        <v>- [Python_polars学习-02_上下文与表达式](/polars-学习/Python_polars学习-02_上下文与表达式.md)</v>
      </c>
      <c r="E3" t="str">
        <f t="shared" si="1"/>
        <v>- [Python_polars学习-02_上下文与表达式](../../polars-学习/Python_polars学习-02_上下文与表达式/)</v>
      </c>
    </row>
    <row r="4" spans="1:5" x14ac:dyDescent="0.45">
      <c r="A4" t="s">
        <v>3</v>
      </c>
      <c r="B4" t="s">
        <v>119</v>
      </c>
      <c r="C4" s="5" t="str">
        <f t="shared" si="0"/>
        <v>- [Python_polars学习-03_数据类型转换](polars-学习/Python_polars学习-03_数据类型转换.md)</v>
      </c>
      <c r="D4" s="5" t="str">
        <f t="shared" si="2"/>
        <v>- [Python_polars学习-03_数据类型转换](/polars-学习/Python_polars学习-03_数据类型转换.md)</v>
      </c>
      <c r="E4" t="str">
        <f t="shared" si="1"/>
        <v>- [Python_polars学习-03_数据类型转换](../../polars-学习/Python_polars学习-03_数据类型转换/)</v>
      </c>
    </row>
    <row r="5" spans="1:5" x14ac:dyDescent="0.45">
      <c r="A5" t="s">
        <v>3</v>
      </c>
      <c r="B5" t="s">
        <v>120</v>
      </c>
      <c r="C5" s="5" t="str">
        <f t="shared" si="0"/>
        <v>- [Python_polars学习-04_字符串数据处理](polars-学习/Python_polars学习-04_字符串数据处理.md)</v>
      </c>
      <c r="D5" s="5" t="str">
        <f t="shared" ref="D5:D12" si="3">"- ["&amp;SUBSTITUTE(B5,".md","")&amp;"](/"&amp;A5&amp;"/"&amp;B5&amp;")"</f>
        <v>- [Python_polars学习-04_字符串数据处理](/polars-学习/Python_polars学习-04_字符串数据处理.md)</v>
      </c>
      <c r="E5" t="str">
        <f t="shared" si="1"/>
        <v>- [Python_polars学习-04_字符串数据处理](../../polars-学习/Python_polars学习-04_字符串数据处理/)</v>
      </c>
    </row>
    <row r="6" spans="1:5" x14ac:dyDescent="0.45">
      <c r="A6" t="s">
        <v>3</v>
      </c>
      <c r="B6" t="s">
        <v>121</v>
      </c>
      <c r="C6" s="5" t="str">
        <f t="shared" si="0"/>
        <v>- [Python_polars学习-05_包含的数据结构](polars-学习/Python_polars学习-05_包含的数据结构.md)</v>
      </c>
      <c r="D6" s="5" t="str">
        <f t="shared" si="3"/>
        <v>- [Python_polars学习-05_包含的数据结构](/polars-学习/Python_polars学习-05_包含的数据结构.md)</v>
      </c>
      <c r="E6" t="str">
        <f t="shared" si="1"/>
        <v>- [Python_polars学习-05_包含的数据结构](../../polars-学习/Python_polars学习-05_包含的数据结构/)</v>
      </c>
    </row>
    <row r="7" spans="1:5" x14ac:dyDescent="0.45">
      <c r="A7" t="s">
        <v>3</v>
      </c>
      <c r="B7" t="s">
        <v>122</v>
      </c>
      <c r="C7" s="5" t="str">
        <f t="shared" si="0"/>
        <v>- [Python_polars学习-06_Lazy-Eager-API](polars-学习/Python_polars学习-06_Lazy-Eager-API.md)</v>
      </c>
      <c r="D7" s="5" t="str">
        <f t="shared" si="3"/>
        <v>- [Python_polars学习-06_Lazy-Eager-API](/polars-学习/Python_polars学习-06_Lazy-Eager-API.md)</v>
      </c>
      <c r="E7" t="str">
        <f t="shared" si="1"/>
        <v>- [Python_polars学习-06_Lazy-Eager-API](../../polars-学习/Python_polars学习-06_Lazy-Eager-API/)</v>
      </c>
    </row>
    <row r="8" spans="1:5" x14ac:dyDescent="0.45">
      <c r="A8" t="s">
        <v>3</v>
      </c>
      <c r="B8" t="s">
        <v>123</v>
      </c>
      <c r="C8" s="5" t="str">
        <f t="shared" si="0"/>
        <v>- [Python_polars学习-07_缺失值](polars-学习/Python_polars学习-07_缺失值.md)</v>
      </c>
      <c r="D8" s="5" t="str">
        <f t="shared" si="3"/>
        <v>- [Python_polars学习-07_缺失值](/polars-学习/Python_polars学习-07_缺失值.md)</v>
      </c>
      <c r="E8" t="str">
        <f t="shared" si="1"/>
        <v>- [Python_polars学习-07_缺失值](../../polars-学习/Python_polars学习-07_缺失值/)</v>
      </c>
    </row>
    <row r="9" spans="1:5" x14ac:dyDescent="0.45">
      <c r="A9" t="s">
        <v>3</v>
      </c>
      <c r="B9" t="s">
        <v>124</v>
      </c>
      <c r="C9" s="5" t="str">
        <f t="shared" si="0"/>
        <v>- [Python_polars学习-08_分类数据处理](polars-学习/Python_polars学习-08_分类数据处理.md)</v>
      </c>
      <c r="D9" s="5" t="str">
        <f t="shared" si="3"/>
        <v>- [Python_polars学习-08_分类数据处理](/polars-学习/Python_polars学习-08_分类数据处理.md)</v>
      </c>
      <c r="E9" t="str">
        <f t="shared" si="1"/>
        <v>- [Python_polars学习-08_分类数据处理](../../polars-学习/Python_polars学习-08_分类数据处理/)</v>
      </c>
    </row>
    <row r="10" spans="1:5" x14ac:dyDescent="0.45">
      <c r="A10" t="s">
        <v>3</v>
      </c>
      <c r="B10" t="s">
        <v>125</v>
      </c>
      <c r="C10" s="5" t="str">
        <f t="shared" si="0"/>
        <v>- [Python_polars学习-09_数据框关联与拼接](polars-学习/Python_polars学习-09_数据框关联与拼接.md)</v>
      </c>
      <c r="D10" s="5" t="str">
        <f t="shared" si="3"/>
        <v>- [Python_polars学习-09_数据框关联与拼接](/polars-学习/Python_polars学习-09_数据框关联与拼接.md)</v>
      </c>
      <c r="E10" t="str">
        <f t="shared" si="1"/>
        <v>- [Python_polars学习-09_数据框关联与拼接](../../polars-学习/Python_polars学习-09_数据框关联与拼接/)</v>
      </c>
    </row>
    <row r="11" spans="1:5" x14ac:dyDescent="0.45">
      <c r="A11" t="s">
        <v>3</v>
      </c>
      <c r="B11" t="s">
        <v>133</v>
      </c>
      <c r="C11" s="5" t="str">
        <f t="shared" si="0"/>
        <v>- [Python-polars学习-10-时间序列类型](polars-学习/Python-polars学习-10-时间序列类型.md)</v>
      </c>
      <c r="D11" s="5" t="str">
        <f t="shared" si="3"/>
        <v>- [Python-polars学习-10-时间序列类型](/polars-学习/Python-polars学习-10-时间序列类型.md)</v>
      </c>
      <c r="E11" t="str">
        <f t="shared" si="1"/>
        <v>- [Python-polars学习-10-时间序列类型](../../polars-学习/Python-polars学习-10-时间序列类型/)</v>
      </c>
    </row>
    <row r="12" spans="1:5" x14ac:dyDescent="0.45">
      <c r="A12" t="s">
        <v>3</v>
      </c>
      <c r="B12" t="s">
        <v>132</v>
      </c>
      <c r="C12" s="5" t="str">
        <f t="shared" si="0"/>
        <v>- [Python-polars学习-11-用户自定义函数](polars-学习/Python-polars学习-11-用户自定义函数.md)</v>
      </c>
      <c r="D12" s="5" t="str">
        <f t="shared" si="3"/>
        <v>- [Python-polars学习-11-用户自定义函数](/polars-学习/Python-polars学习-11-用户自定义函数.md)</v>
      </c>
      <c r="E12" t="str">
        <f t="shared" si="1"/>
        <v>- [Python-polars学习-11-用户自定义函数](../../polars-学习/Python-polars学习-11-用户自定义函数/)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9" sqref="E9"/>
    </sheetView>
  </sheetViews>
  <sheetFormatPr defaultRowHeight="16.5" x14ac:dyDescent="0.45"/>
  <cols>
    <col min="1" max="1" width="8.921875" customWidth="1"/>
    <col min="2" max="2" width="34.921875" customWidth="1"/>
    <col min="3" max="4" width="14.765625" style="5" customWidth="1"/>
    <col min="5" max="5" width="56.61328125" customWidth="1"/>
  </cols>
  <sheetData>
    <row r="1" spans="1:5" s="1" customFormat="1" x14ac:dyDescent="0.45">
      <c r="A1" s="1" t="s">
        <v>2</v>
      </c>
      <c r="B1" s="1" t="s">
        <v>0</v>
      </c>
      <c r="C1" s="4" t="s">
        <v>1</v>
      </c>
      <c r="D1" s="4" t="s">
        <v>170</v>
      </c>
      <c r="E1" s="1" t="s">
        <v>186</v>
      </c>
    </row>
    <row r="2" spans="1:5" x14ac:dyDescent="0.45">
      <c r="A2" t="s">
        <v>4</v>
      </c>
      <c r="B2" t="s">
        <v>5</v>
      </c>
      <c r="C2" s="5" t="str">
        <f>"- ["&amp;LEFT(B2,LEN(B2)-3)&amp;"]("&amp;A2&amp;"/"&amp;B2&amp;")"</f>
        <v>- [Hive---HQL支持的2种查询语句风格，你喜欢哪一种？](Hive/Hive---HQL支持的2种查询语句风格，你喜欢哪一种？.md)</v>
      </c>
      <c r="D2" s="5" t="str">
        <f>"- ["&amp;SUBSTITUTE(B2,".md","")&amp;"](/"&amp;A2&amp;"/"&amp;B2&amp;")"</f>
        <v>- [Hive---HQL支持的2种查询语句风格，你喜欢哪一种？](/Hive/Hive---HQL支持的2种查询语句风格，你喜欢哪一种？.md)</v>
      </c>
      <c r="E2" t="str">
        <f t="shared" ref="E2:E9" si="0">"- ["&amp;LEFT(B2,LEN(B2)-3)&amp;"](../../"&amp;A2&amp;"/"&amp;LEFT(B2,LEN(B2)-3)&amp;"/)"</f>
        <v>- [Hive---HQL支持的2种查询语句风格，你喜欢哪一种？](../../Hive/Hive---HQL支持的2种查询语句风格，你喜欢哪一种？/)</v>
      </c>
    </row>
    <row r="3" spans="1:5" x14ac:dyDescent="0.45">
      <c r="A3" t="s">
        <v>4</v>
      </c>
      <c r="B3" t="s">
        <v>6</v>
      </c>
      <c r="C3" s="5" t="str">
        <f t="shared" ref="C3:C9" si="1">"- ["&amp;LEFT(B3,LEN(B3)-3)&amp;"]("&amp;A3&amp;"/"&amp;B3&amp;")"</f>
        <v>- [Hive-数据聚合成键值对时，根据值大小进行排序](Hive/Hive-数据聚合成键值对时，根据值大小进行排序.md)</v>
      </c>
      <c r="D3" s="5" t="str">
        <f t="shared" ref="D3:D6" si="2">"- ["&amp;SUBSTITUTE(B3,".md","")&amp;"](/"&amp;A3&amp;"/"&amp;B3&amp;")"</f>
        <v>- [Hive-数据聚合成键值对时，根据值大小进行排序](/Hive/Hive-数据聚合成键值对时，根据值大小进行排序.md)</v>
      </c>
      <c r="E3" t="str">
        <f t="shared" si="0"/>
        <v>- [Hive-数据聚合成键值对时，根据值大小进行排序](../../Hive/Hive-数据聚合成键值对时，根据值大小进行排序/)</v>
      </c>
    </row>
    <row r="4" spans="1:5" x14ac:dyDescent="0.45">
      <c r="A4" t="s">
        <v>4</v>
      </c>
      <c r="B4" t="s">
        <v>7</v>
      </c>
      <c r="C4" s="5" t="str">
        <f t="shared" si="1"/>
        <v>- [Hive-中把一行记录拆分为多行记录](Hive/Hive-中把一行记录拆分为多行记录.md)</v>
      </c>
      <c r="D4" s="5" t="str">
        <f t="shared" si="2"/>
        <v>- [Hive-中把一行记录拆分为多行记录](/Hive/Hive-中把一行记录拆分为多行记录.md)</v>
      </c>
      <c r="E4" t="str">
        <f t="shared" si="0"/>
        <v>- [Hive-中把一行记录拆分为多行记录](../../Hive/Hive-中把一行记录拆分为多行记录/)</v>
      </c>
    </row>
    <row r="5" spans="1:5" x14ac:dyDescent="0.45">
      <c r="A5" t="s">
        <v>4</v>
      </c>
      <c r="B5" t="s">
        <v>8</v>
      </c>
      <c r="C5" s="5" t="str">
        <f t="shared" si="1"/>
        <v>- [Hive中的常用函数](Hive/Hive中的常用函数.md)</v>
      </c>
      <c r="D5" s="5" t="str">
        <f t="shared" si="2"/>
        <v>- [Hive中的常用函数](/Hive/Hive中的常用函数.md)</v>
      </c>
      <c r="E5" t="str">
        <f t="shared" si="0"/>
        <v>- [Hive中的常用函数](../../Hive/Hive中的常用函数/)</v>
      </c>
    </row>
    <row r="6" spans="1:5" x14ac:dyDescent="0.45">
      <c r="A6" t="s">
        <v>4</v>
      </c>
      <c r="B6" t="s">
        <v>9</v>
      </c>
      <c r="C6" s="5" t="str">
        <f t="shared" si="1"/>
        <v>- [Hive-中的各种常用set设置](Hive/Hive-中的各种常用set设置.md)</v>
      </c>
      <c r="D6" s="5" t="str">
        <f t="shared" si="2"/>
        <v>- [Hive-中的各种常用set设置](/Hive/Hive-中的各种常用set设置.md)</v>
      </c>
      <c r="E6" t="str">
        <f t="shared" si="0"/>
        <v>- [Hive-中的各种常用set设置](../../Hive/Hive-中的各种常用set设置/)</v>
      </c>
    </row>
    <row r="7" spans="1:5" x14ac:dyDescent="0.45">
      <c r="A7" t="s">
        <v>4</v>
      </c>
      <c r="B7" t="s">
        <v>10</v>
      </c>
      <c r="C7" s="5" t="str">
        <f t="shared" si="1"/>
        <v>- [Hive中对相邻访问时间进行归并分组](Hive/Hive中对相邻访问时间进行归并分组.md)</v>
      </c>
      <c r="D7" s="5" t="s">
        <v>170</v>
      </c>
      <c r="E7" t="str">
        <f t="shared" si="0"/>
        <v>- [Hive中对相邻访问时间进行归并分组](../../Hive/Hive中对相邻访问时间进行归并分组/)</v>
      </c>
    </row>
    <row r="8" spans="1:5" x14ac:dyDescent="0.45">
      <c r="A8" t="s">
        <v>4</v>
      </c>
      <c r="B8" t="s">
        <v>11</v>
      </c>
      <c r="C8" s="5" t="str">
        <f t="shared" si="1"/>
        <v>- [Hive中各种日期格式转换方法总结](Hive/Hive中各种日期格式转换方法总结.md)</v>
      </c>
      <c r="D8" s="5" t="str">
        <f t="shared" ref="D8:D9" si="3">"- ["&amp;SUBSTITUTE(B8,".md","")&amp;"](/"&amp;A8&amp;"/"&amp;B8&amp;")"</f>
        <v>- [Hive中各种日期格式转换方法总结](/Hive/Hive中各种日期格式转换方法总结.md)</v>
      </c>
      <c r="E8" t="str">
        <f t="shared" si="0"/>
        <v>- [Hive中各种日期格式转换方法总结](../../Hive/Hive中各种日期格式转换方法总结/)</v>
      </c>
    </row>
    <row r="9" spans="1:5" x14ac:dyDescent="0.45">
      <c r="A9" t="s">
        <v>4</v>
      </c>
      <c r="B9" t="s">
        <v>130</v>
      </c>
      <c r="C9" s="5" t="str">
        <f t="shared" si="1"/>
        <v>- [hadoop-常用命令总结](Hive/hadoop-常用命令总结.md)</v>
      </c>
      <c r="D9" s="5" t="str">
        <f t="shared" si="3"/>
        <v>- [hadoop-常用命令总结](/Hive/hadoop-常用命令总结.md)</v>
      </c>
      <c r="E9" t="str">
        <f t="shared" si="0"/>
        <v>- [hadoop-常用命令总结](../../Hive/hadoop-常用命令总结/)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4" sqref="A4:XFD15"/>
    </sheetView>
  </sheetViews>
  <sheetFormatPr defaultRowHeight="16.5" x14ac:dyDescent="0.45"/>
  <cols>
    <col min="1" max="1" width="18.84375" customWidth="1"/>
    <col min="2" max="2" width="45.53515625" customWidth="1"/>
    <col min="3" max="3" width="24.4609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12</v>
      </c>
      <c r="B2" t="s">
        <v>13</v>
      </c>
      <c r="C2" t="str">
        <f>"- ["&amp;LEFT(B2,LEN(B2)-3)&amp;"]("&amp;A2&amp;"/"&amp;B2&amp;")"</f>
        <v>- [Excel中的标准差stdev-S和stdev-P区别](EXCEL数据处理-VBA/Excel中的标准差stdev-S和stdev-P区别.md)</v>
      </c>
    </row>
    <row r="3" spans="1:3" x14ac:dyDescent="0.45">
      <c r="A3" t="s">
        <v>12</v>
      </c>
      <c r="B3" t="s">
        <v>14</v>
      </c>
      <c r="C3" t="str">
        <f t="shared" ref="C3" si="0">"- ["&amp;LEFT(B3,LEN(B3)-3)&amp;"]("&amp;A3&amp;"/"&amp;B3&amp;")"</f>
        <v>- [数据去重-----VBA字典法](EXCEL数据处理-VBA/数据去重-----VBA字典法.md)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F2" sqref="F2"/>
    </sheetView>
  </sheetViews>
  <sheetFormatPr defaultRowHeight="16.5" x14ac:dyDescent="0.45"/>
  <cols>
    <col min="1" max="1" width="9.61328125" customWidth="1"/>
    <col min="2" max="2" width="42.3828125" customWidth="1"/>
    <col min="3" max="3" width="23.61328125" customWidth="1"/>
    <col min="4" max="4" width="10.4609375" customWidth="1"/>
    <col min="6" max="6" width="36.304687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184</v>
      </c>
      <c r="E1" s="4" t="s">
        <v>185</v>
      </c>
      <c r="F1" s="1" t="s">
        <v>186</v>
      </c>
    </row>
    <row r="2" spans="1:6" x14ac:dyDescent="0.45">
      <c r="A2" t="s">
        <v>15</v>
      </c>
      <c r="B2" t="s">
        <v>16</v>
      </c>
      <c r="C2" t="s">
        <v>297</v>
      </c>
      <c r="D2" t="str">
        <f>"- ["&amp;LEFT(B2,LEN(B2)-3)&amp;"]("&amp;A2&amp;"/"&amp;B2&amp;")"</f>
        <v>- [Linux-（Centos-7）中-Anaconda环境管理，安装不同的版本Python包](Linux/Linux-（Centos-7）中-Anaconda环境管理，安装不同的版本Python包.md)</v>
      </c>
      <c r="F2" t="str">
        <f>"- ["&amp;C2&amp;"](../../"&amp;A2&amp;"/"&amp;LEFT(B2,LEN(B2)-3)&amp;"/)"</f>
        <v>- [Linux-（Centos-7）中 Anaconda环境管理，安装不同的版本Python包](../../Linux/Linux-（Centos-7）中-Anaconda环境管理，安装不同的版本Python包/)</v>
      </c>
    </row>
    <row r="3" spans="1:6" x14ac:dyDescent="0.45">
      <c r="A3" t="s">
        <v>15</v>
      </c>
      <c r="B3" t="s">
        <v>17</v>
      </c>
      <c r="C3" t="s">
        <v>189</v>
      </c>
      <c r="D3" t="str">
        <f t="shared" ref="D3:D6" si="0">"- ["&amp;LEFT(B3,LEN(B3)-3)&amp;"]("&amp;A3&amp;"/"&amp;B3&amp;")"</f>
        <v>- [Linux之NTFS、FAT32、exFAT-各种格式硬盘挂载整理](Linux/Linux之NTFS、FAT32、exFAT-各种格式硬盘挂载整理.md)</v>
      </c>
      <c r="F3" t="str">
        <f t="shared" ref="F3:F6" si="1">"- ["&amp;C3&amp;"](../../"&amp;A3&amp;"/"&amp;LEFT(B3,LEN(B3)-3)&amp;"/)"</f>
        <v>- [Linux之NTFS、FAT32、exFAT-各种格式硬盘挂载整理](../../Linux/Linux之NTFS、FAT32、exFAT-各种格式硬盘挂载整理/)</v>
      </c>
    </row>
    <row r="4" spans="1:6" x14ac:dyDescent="0.45">
      <c r="A4" t="s">
        <v>15</v>
      </c>
      <c r="B4" t="s">
        <v>18</v>
      </c>
      <c r="C4" t="s">
        <v>190</v>
      </c>
      <c r="D4" t="str">
        <f t="shared" si="0"/>
        <v>- [SecureCRT利用Python脚本自动登陆服务器，自动验证Google-Authenticator动态验证码](Linux/SecureCRT利用Python脚本自动登陆服务器，自动验证Google-Authenticator动态验证码.md)</v>
      </c>
      <c r="F4" t="str">
        <f t="shared" si="1"/>
        <v>- [SecureCRT利用Python脚本自动登陆服务器，自动验证Google-Authenticator动态验证码](../../Linux/SecureCRT利用Python脚本自动登陆服务器，自动验证Google-Authenticator动态验证码/)</v>
      </c>
    </row>
    <row r="5" spans="1:6" x14ac:dyDescent="0.45">
      <c r="A5" t="s">
        <v>15</v>
      </c>
      <c r="B5" t="s">
        <v>19</v>
      </c>
      <c r="C5" t="s">
        <v>298</v>
      </c>
      <c r="D5" t="str">
        <f t="shared" si="0"/>
        <v>- [数据分析师常用的-Linux-命令总结](Linux/数据分析师常用的-Linux-命令总结.md)</v>
      </c>
      <c r="F5" t="str">
        <f t="shared" si="1"/>
        <v>- [数据分析师常用的 Linux 命令总结](../../Linux/数据分析师常用的-Linux-命令总结/)</v>
      </c>
    </row>
    <row r="6" spans="1:6" x14ac:dyDescent="0.45">
      <c r="A6" t="s">
        <v>15</v>
      </c>
      <c r="B6" t="s">
        <v>20</v>
      </c>
      <c r="C6" t="s">
        <v>299</v>
      </c>
      <c r="D6" t="str">
        <f t="shared" si="0"/>
        <v>- [在Linux服务器上部署Jupyter-notebook](Linux/在Linux服务器上部署Jupyter-notebook.md)</v>
      </c>
      <c r="F6" t="str">
        <f t="shared" si="1"/>
        <v>- [在Linux服务器上部署Jupyter notebook](../../Linux/在Linux服务器上部署Jupyter-notebook/)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activeCell="E3" sqref="E3"/>
    </sheetView>
  </sheetViews>
  <sheetFormatPr defaultRowHeight="16.5" x14ac:dyDescent="0.45"/>
  <cols>
    <col min="1" max="1" width="6.69140625" customWidth="1"/>
    <col min="2" max="2" width="45.53515625" customWidth="1"/>
    <col min="3" max="4" width="14.53515625" style="5" customWidth="1"/>
    <col min="5" max="5" width="56.15234375" customWidth="1"/>
    <col min="6" max="6" width="19.15234375" customWidth="1"/>
  </cols>
  <sheetData>
    <row r="1" spans="1:5" s="1" customFormat="1" x14ac:dyDescent="0.45">
      <c r="A1" s="1" t="s">
        <v>2</v>
      </c>
      <c r="B1" s="1" t="s">
        <v>0</v>
      </c>
      <c r="C1" s="4" t="s">
        <v>1</v>
      </c>
      <c r="D1" s="4" t="s">
        <v>187</v>
      </c>
      <c r="E1" s="1" t="s">
        <v>186</v>
      </c>
    </row>
    <row r="2" spans="1:5" x14ac:dyDescent="0.45">
      <c r="A2" t="s">
        <v>21</v>
      </c>
      <c r="B2" t="s">
        <v>22</v>
      </c>
      <c r="C2" s="5" t="str">
        <f>"- ["&amp;LEFT(B2,LEN(B2)-3)&amp;"]("&amp;A2&amp;"/"&amp;B2&amp;")"</f>
        <v>- [Python-除了结巴分词，还有什么好用的中文分词工具？](NLP/Python-除了结巴分词，还有什么好用的中文分词工具？.md)</v>
      </c>
      <c r="D2" s="5" t="str">
        <f>"- ["&amp;SUBSTITUTE(B2,".md","")&amp;"](/"&amp;A2&amp;"/"&amp;B2&amp;")"</f>
        <v>- [Python-除了结巴分词，还有什么好用的中文分词工具？](/NLP/Python-除了结巴分词，还有什么好用的中文分词工具？.md)</v>
      </c>
      <c r="E2" t="str">
        <f t="shared" ref="E2:E4" si="0">"- ["&amp;LEFT(B2,LEN(B2)-3)&amp;"](../../"&amp;A2&amp;"/"&amp;LEFT(B2,LEN(B2)-3)&amp;"/)"</f>
        <v>- [Python-除了结巴分词，还有什么好用的中文分词工具？](../../NLP/Python-除了结巴分词，还有什么好用的中文分词工具？/)</v>
      </c>
    </row>
    <row r="3" spans="1:5" x14ac:dyDescent="0.45">
      <c r="A3" t="s">
        <v>21</v>
      </c>
      <c r="B3" t="s">
        <v>24</v>
      </c>
      <c r="C3" s="5" t="str">
        <f t="shared" ref="C3:C4" si="1">"- ["&amp;LEFT(B3,LEN(B3)-3)&amp;"]("&amp;A3&amp;"/"&amp;B3&amp;")"</f>
        <v>- [自然语言处理（NLP）-Bert与Lstm结合](NLP/自然语言处理（NLP）-Bert与Lstm结合.md)</v>
      </c>
      <c r="D3" s="5" t="str">
        <f t="shared" ref="D3:D4" si="2">"- ["&amp;SUBSTITUTE(B3,".md","")&amp;"](/"&amp;A3&amp;"/"&amp;B3&amp;")"</f>
        <v>- [自然语言处理（NLP）-Bert与Lstm结合](/NLP/自然语言处理（NLP）-Bert与Lstm结合.md)</v>
      </c>
      <c r="E3" t="str">
        <f t="shared" si="0"/>
        <v>- [自然语言处理（NLP）-Bert与Lstm结合](../../NLP/自然语言处理（NLP）-Bert与Lstm结合/)</v>
      </c>
    </row>
    <row r="4" spans="1:5" x14ac:dyDescent="0.45">
      <c r="A4" t="s">
        <v>21</v>
      </c>
      <c r="B4" t="s">
        <v>131</v>
      </c>
      <c r="C4" s="5" t="str">
        <f t="shared" si="1"/>
        <v>- [基于DeepSeek，构建个人本地RAG知识库](NLP/基于DeepSeek，构建个人本地RAG知识库.md)</v>
      </c>
      <c r="D4" s="5" t="str">
        <f t="shared" si="2"/>
        <v>- [基于DeepSeek，构建个人本地RAG知识库](/NLP/基于DeepSeek，构建个人本地RAG知识库.md)</v>
      </c>
      <c r="E4" t="str">
        <f t="shared" si="0"/>
        <v>- [基于DeepSeek，构建个人本地RAG知识库](../../NLP/基于DeepSeek，构建个人本地RAG知识库/)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pane ySplit="1" topLeftCell="A14" activePane="bottomLeft" state="frozen"/>
      <selection pane="bottomLeft" activeCell="D32" sqref="D32:F32"/>
    </sheetView>
  </sheetViews>
  <sheetFormatPr defaultRowHeight="16.5" x14ac:dyDescent="0.45"/>
  <cols>
    <col min="1" max="1" width="14.69140625" customWidth="1"/>
    <col min="2" max="2" width="46.84375" customWidth="1"/>
    <col min="3" max="3" width="18.765625" customWidth="1"/>
    <col min="4" max="5" width="8.07421875" style="5" customWidth="1"/>
    <col min="6" max="6" width="67.6914062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184</v>
      </c>
      <c r="E1" s="4" t="s">
        <v>185</v>
      </c>
      <c r="F1" s="1" t="s">
        <v>186</v>
      </c>
    </row>
    <row r="2" spans="1:6" x14ac:dyDescent="0.45">
      <c r="A2" t="s">
        <v>25</v>
      </c>
      <c r="B2" t="s">
        <v>26</v>
      </c>
      <c r="C2" t="s">
        <v>191</v>
      </c>
      <c r="D2" s="5" t="str">
        <f>"- ["&amp;LEFT(B2,LEN(B2)-3)&amp;"]("&amp;A2&amp;"/"&amp;B2&amp;")"</f>
        <v>- [NumPy论文都已经登上了Nature，Pythoneer会用了吗？](Python基础库/NumPy论文都已经登上了Nature，Pythoneer会用了吗？.md)</v>
      </c>
      <c r="E2" s="5" t="str">
        <f>"- ["&amp;SUBSTITUTE(B2,".md","")&amp;"](/"&amp;A2&amp;"/"&amp;B2&amp;")"</f>
        <v>- [NumPy论文都已经登上了Nature，Pythoneer会用了吗？](/Python基础库/NumPy论文都已经登上了Nature，Pythoneer会用了吗？.md)</v>
      </c>
      <c r="F2" t="str">
        <f>"- ["&amp;C2&amp;"](../../"&amp;A2&amp;"/"&amp;LEFT(B2,LEN(B2)-3)&amp;"/)"</f>
        <v>- [NumPy论文都已经登上了Nature，Pythoneer会用了吗？](../../Python基础库/NumPy论文都已经登上了Nature，Pythoneer会用了吗？/)</v>
      </c>
    </row>
    <row r="3" spans="1:6" x14ac:dyDescent="0.45">
      <c r="A3" t="s">
        <v>25</v>
      </c>
      <c r="B3" t="s">
        <v>28</v>
      </c>
      <c r="C3" t="s">
        <v>255</v>
      </c>
      <c r="D3" s="5" t="str">
        <f t="shared" ref="D3:D29" si="0">"- ["&amp;LEFT(B3,LEN(B3)-3)&amp;"]("&amp;A3&amp;"/"&amp;B3&amp;")"</f>
        <v>- [Python-标准库之pathlib，路径操作](Python基础库/Python-标准库之pathlib，路径操作.md)</v>
      </c>
      <c r="E3" s="5" t="str">
        <f t="shared" ref="E3:E29" si="1">"- ["&amp;SUBSTITUTE(B3,".md","")&amp;"](/"&amp;A3&amp;"/"&amp;B3&amp;")"</f>
        <v>- [Python-标准库之pathlib，路径操作](/Python基础库/Python-标准库之pathlib，路径操作.md)</v>
      </c>
      <c r="F3" t="str">
        <f t="shared" ref="F3:F29" si="2">"- ["&amp;C3&amp;"](../../"&amp;A3&amp;"/"&amp;LEFT(B3,LEN(B3)-3)&amp;"/)"</f>
        <v>- [Python 标准库之pathlib，路径操作](../../Python基础库/Python-标准库之pathlib，路径操作/)</v>
      </c>
    </row>
    <row r="4" spans="1:6" x14ac:dyDescent="0.45">
      <c r="A4" t="s">
        <v>25</v>
      </c>
      <c r="B4" t="s">
        <v>29</v>
      </c>
      <c r="C4" t="s">
        <v>256</v>
      </c>
      <c r="D4" s="5" t="str">
        <f t="shared" si="0"/>
        <v>- [Python-标准库heapq，堆数据结构操作详解](Python基础库/Python-标准库heapq，堆数据结构操作详解.md)</v>
      </c>
      <c r="E4" s="5" t="str">
        <f t="shared" si="1"/>
        <v>- [Python-标准库heapq，堆数据结构操作详解](/Python基础库/Python-标准库heapq，堆数据结构操作详解.md)</v>
      </c>
      <c r="F4" t="str">
        <f t="shared" si="2"/>
        <v>- [Python 标准库heapq，堆数据结构操作详解](../../Python基础库/Python-标准库heapq，堆数据结构操作详解/)</v>
      </c>
    </row>
    <row r="5" spans="1:6" x14ac:dyDescent="0.45">
      <c r="A5" t="s">
        <v>25</v>
      </c>
      <c r="B5" t="s">
        <v>30</v>
      </c>
      <c r="C5" t="s">
        <v>257</v>
      </c>
      <c r="D5" s="5" t="str">
        <f t="shared" si="0"/>
        <v>- [Python-基于ssh连接远程Mysql数据库](Python基础库/Python-基于ssh连接远程Mysql数据库.md)</v>
      </c>
      <c r="E5" s="5" t="str">
        <f t="shared" si="1"/>
        <v>- [Python-基于ssh连接远程Mysql数据库](/Python基础库/Python-基于ssh连接远程Mysql数据库.md)</v>
      </c>
      <c r="F5" t="str">
        <f t="shared" si="2"/>
        <v>- [Python 基于ssh连接远程Mysql数据库](../../Python基础库/Python-基于ssh连接远程Mysql数据库/)</v>
      </c>
    </row>
    <row r="6" spans="1:6" x14ac:dyDescent="0.45">
      <c r="A6" t="s">
        <v>25</v>
      </c>
      <c r="B6" t="s">
        <v>31</v>
      </c>
      <c r="C6" t="s">
        <v>258</v>
      </c>
      <c r="D6" s="5" t="str">
        <f t="shared" si="0"/>
        <v>- [Python-记录re正则模块，方便后期查找使用](Python基础库/Python-记录re正则模块，方便后期查找使用.md)</v>
      </c>
      <c r="E6" s="5" t="str">
        <f t="shared" si="1"/>
        <v>- [Python-记录re正则模块，方便后期查找使用](/Python基础库/Python-记录re正则模块，方便后期查找使用.md)</v>
      </c>
      <c r="F6" t="str">
        <f t="shared" si="2"/>
        <v>- [Python 记录re正则模块，方便后期查找使用](../../Python基础库/Python-记录re正则模块，方便后期查找使用/)</v>
      </c>
    </row>
    <row r="7" spans="1:6" x14ac:dyDescent="0.45">
      <c r="A7" t="s">
        <v>25</v>
      </c>
      <c r="B7" t="s">
        <v>32</v>
      </c>
      <c r="C7" t="s">
        <v>259</v>
      </c>
      <c r="D7" s="5" t="str">
        <f t="shared" si="0"/>
        <v>- [Python-内建模块-bisect，数组二分查找算法](Python基础库/Python-内建模块-bisect，数组二分查找算法.md)</v>
      </c>
      <c r="E7" s="5" t="str">
        <f t="shared" si="1"/>
        <v>- [Python-内建模块-bisect，数组二分查找算法](/Python基础库/Python-内建模块-bisect，数组二分查找算法.md)</v>
      </c>
      <c r="F7" t="str">
        <f t="shared" si="2"/>
        <v>- [Python 内建模块 bisect，数组二分查找算法](../../Python基础库/Python-内建模块-bisect，数组二分查找算法/)</v>
      </c>
    </row>
    <row r="8" spans="1:6" x14ac:dyDescent="0.45">
      <c r="A8" t="s">
        <v>25</v>
      </c>
      <c r="B8" t="s">
        <v>33</v>
      </c>
      <c r="C8" t="s">
        <v>260</v>
      </c>
      <c r="D8" s="5" t="str">
        <f t="shared" si="0"/>
        <v>- [Python-扑克牌发牌游戏](Python基础库/Python-扑克牌发牌游戏.md)</v>
      </c>
      <c r="E8" s="5" t="str">
        <f t="shared" si="1"/>
        <v>- [Python-扑克牌发牌游戏](/Python基础库/Python-扑克牌发牌游戏.md)</v>
      </c>
      <c r="F8" t="str">
        <f t="shared" si="2"/>
        <v>- [Python 扑克牌发牌游戏](../../Python基础库/Python-扑克牌发牌游戏/)</v>
      </c>
    </row>
    <row r="9" spans="1:6" x14ac:dyDescent="0.45">
      <c r="A9" t="s">
        <v>25</v>
      </c>
      <c r="B9" t="s">
        <v>34</v>
      </c>
      <c r="C9" t="s">
        <v>261</v>
      </c>
      <c r="D9" s="5" t="str">
        <f t="shared" si="0"/>
        <v>- [Python-中一个好用的地址解析工具cpca（chinese_province_city_area_mapper）](Python基础库/Python-中一个好用的地址解析工具cpca（chinese_province_city_area_mapper）.md)</v>
      </c>
      <c r="E9" s="5" t="str">
        <f t="shared" si="1"/>
        <v>- [Python-中一个好用的地址解析工具cpca（chinese_province_city_area_mapper）](/Python基础库/Python-中一个好用的地址解析工具cpca（chinese_province_city_area_mapper）.md)</v>
      </c>
      <c r="F9" t="str">
        <f t="shared" si="2"/>
        <v>- [Python 中一个好用的地址解析工具cpca（chinese_province_city_area_mapper）](../../Python基础库/Python-中一个好用的地址解析工具cpca（chinese_province_city_area_mapper）/)</v>
      </c>
    </row>
    <row r="10" spans="1:6" x14ac:dyDescent="0.45">
      <c r="A10" t="s">
        <v>25</v>
      </c>
      <c r="B10" t="s">
        <v>35</v>
      </c>
      <c r="C10" t="s">
        <v>262</v>
      </c>
      <c r="D10" s="5" t="str">
        <f t="shared" si="0"/>
        <v>- [Python-字典已经是有序的，你知道吗？](Python基础库/Python-字典已经是有序的，你知道吗？.md)</v>
      </c>
      <c r="E10" s="5" t="str">
        <f t="shared" si="1"/>
        <v>- [Python-字典已经是有序的，你知道吗？](/Python基础库/Python-字典已经是有序的，你知道吗？.md)</v>
      </c>
      <c r="F10" t="str">
        <f t="shared" si="2"/>
        <v>- [Python 字典已经是有序的，你知道吗？](../../Python基础库/Python-字典已经是有序的，你知道吗？/)</v>
      </c>
    </row>
    <row r="11" spans="1:6" x14ac:dyDescent="0.45">
      <c r="A11" t="s">
        <v>25</v>
      </c>
      <c r="B11" t="s">
        <v>27</v>
      </c>
      <c r="C11" t="s">
        <v>263</v>
      </c>
      <c r="D11" s="5" t="str">
        <f t="shared" si="0"/>
        <v>- [Python-math模块详解](Python基础库/Python-math模块详解.md)</v>
      </c>
      <c r="E11" s="5" t="str">
        <f t="shared" si="1"/>
        <v>- [Python-math模块详解](/Python基础库/Python-math模块详解.md)</v>
      </c>
      <c r="F11" t="str">
        <f t="shared" si="2"/>
        <v>- [Python math模块详解](../../Python基础库/Python-math模块详解/)</v>
      </c>
    </row>
    <row r="12" spans="1:6" x14ac:dyDescent="0.45">
      <c r="A12" t="s">
        <v>25</v>
      </c>
      <c r="B12" t="s">
        <v>36</v>
      </c>
      <c r="C12" t="s">
        <v>192</v>
      </c>
      <c r="D12" s="5" t="str">
        <f t="shared" si="0"/>
        <v>- [Python利用partial偏函数，生成不同的聚合函数](Python基础库/Python利用partial偏函数，生成不同的聚合函数.md)</v>
      </c>
      <c r="E12" s="5" t="str">
        <f t="shared" si="1"/>
        <v>- [Python利用partial偏函数，生成不同的聚合函数](/Python基础库/Python利用partial偏函数，生成不同的聚合函数.md)</v>
      </c>
      <c r="F12" t="str">
        <f t="shared" si="2"/>
        <v>- [Python利用partial偏函数，生成不同的聚合函数](../../Python基础库/Python利用partial偏函数，生成不同的聚合函数/)</v>
      </c>
    </row>
    <row r="13" spans="1:6" x14ac:dyDescent="0.45">
      <c r="A13" t="s">
        <v>25</v>
      </c>
      <c r="B13" t="s">
        <v>37</v>
      </c>
      <c r="C13" t="s">
        <v>264</v>
      </c>
      <c r="D13" s="5" t="str">
        <f t="shared" si="0"/>
        <v>- [Python内置的-os-模块常用函数、方法](Python基础库/Python内置的-os-模块常用函数、方法.md)</v>
      </c>
      <c r="E13" s="5" t="str">
        <f t="shared" si="1"/>
        <v>- [Python内置的-os-模块常用函数、方法](/Python基础库/Python内置的-os-模块常用函数、方法.md)</v>
      </c>
      <c r="F13" t="str">
        <f t="shared" si="2"/>
        <v>- [Python内置的 os 模块常用函数、方法](../../Python基础库/Python内置的-os-模块常用函数、方法/)</v>
      </c>
    </row>
    <row r="14" spans="1:6" x14ac:dyDescent="0.45">
      <c r="A14" t="s">
        <v>25</v>
      </c>
      <c r="B14" t="s">
        <v>106</v>
      </c>
      <c r="C14" t="s">
        <v>193</v>
      </c>
      <c r="D14" s="5" t="str">
        <f t="shared" si="0"/>
        <v>- [Python文件打包成exe可执行程序](Python基础库/Python文件打包成exe可执行程序.md)</v>
      </c>
      <c r="E14" s="5" t="str">
        <f t="shared" si="1"/>
        <v>- [Python文件打包成exe可执行程序](/Python基础库/Python文件打包成exe可执行程序.md)</v>
      </c>
      <c r="F14" t="str">
        <f t="shared" si="2"/>
        <v>- [Python文件打包成exe可执行程序](../../Python基础库/Python文件打包成exe可执行程序/)</v>
      </c>
    </row>
    <row r="15" spans="1:6" x14ac:dyDescent="0.45">
      <c r="A15" t="s">
        <v>25</v>
      </c>
      <c r="B15" t="s">
        <v>139</v>
      </c>
      <c r="C15" t="s">
        <v>265</v>
      </c>
      <c r="D15" s="5" t="str">
        <f t="shared" si="0"/>
        <v>- [《Python-编程从新手到高手》知识点](Python基础库/《Python-编程从新手到高手》知识点.md)</v>
      </c>
      <c r="E15" s="5" t="str">
        <f t="shared" si="1"/>
        <v>- [《Python-编程从新手到高手》知识点](/Python基础库/《Python-编程从新手到高手》知识点.md)</v>
      </c>
      <c r="F15" t="str">
        <f t="shared" si="2"/>
        <v>- [《Python 编程从新手到高手》知识点](../../Python基础库/《Python-编程从新手到高手》知识点/)</v>
      </c>
    </row>
    <row r="16" spans="1:6" x14ac:dyDescent="0.45">
      <c r="A16" t="s">
        <v>25</v>
      </c>
      <c r="B16" t="s">
        <v>140</v>
      </c>
      <c r="C16" t="s">
        <v>266</v>
      </c>
      <c r="D16" s="5" t="str">
        <f t="shared" si="0"/>
        <v>- [Python-单实例模式详解](Python基础库/Python-单实例模式详解.md)</v>
      </c>
      <c r="E16" s="5" t="str">
        <f t="shared" si="1"/>
        <v>- [Python-单实例模式详解](/Python基础库/Python-单实例模式详解.md)</v>
      </c>
      <c r="F16" t="str">
        <f t="shared" si="2"/>
        <v>- [Python 单实例模式详解](../../Python基础库/Python-单实例模式详解/)</v>
      </c>
    </row>
    <row r="17" spans="1:6" x14ac:dyDescent="0.45">
      <c r="A17" t="s">
        <v>25</v>
      </c>
      <c r="B17" t="s">
        <v>141</v>
      </c>
      <c r="C17" t="s">
        <v>280</v>
      </c>
      <c r="D17" s="5" t="str">
        <f t="shared" si="0"/>
        <v>- [Python函数参数：列表作为默认值，一个隐藏的陷阱！](Python基础库/Python函数参数：列表作为默认值，一个隐藏的陷阱！.md)</v>
      </c>
      <c r="E17" s="5" t="str">
        <f t="shared" si="1"/>
        <v>- [Python函数参数：列表作为默认值，一个隐藏的陷阱！](/Python基础库/Python函数参数：列表作为默认值，一个隐藏的陷阱！.md)</v>
      </c>
      <c r="F17" t="str">
        <f t="shared" si="2"/>
        <v>- [Python 函数参数：列表作为默认值，一个隐藏的陷阱！](../../Python基础库/Python函数参数：列表作为默认值，一个隐藏的陷阱！/)</v>
      </c>
    </row>
    <row r="18" spans="1:6" x14ac:dyDescent="0.45">
      <c r="A18" t="s">
        <v>25</v>
      </c>
      <c r="B18" t="s">
        <v>142</v>
      </c>
      <c r="C18" t="s">
        <v>267</v>
      </c>
      <c r="D18" s="5" t="str">
        <f t="shared" si="0"/>
        <v>- [Python-函数参数类型与使用规则详解](Python基础库/Python-函数参数类型与使用规则详解.md)</v>
      </c>
      <c r="E18" s="5" t="str">
        <f t="shared" si="1"/>
        <v>- [Python-函数参数类型与使用规则详解](/Python基础库/Python-函数参数类型与使用规则详解.md)</v>
      </c>
      <c r="F18" t="str">
        <f t="shared" si="2"/>
        <v>- [Python 函数参数类型与使用规则详解](../../Python基础库/Python-函数参数类型与使用规则详解/)</v>
      </c>
    </row>
    <row r="19" spans="1:6" x14ac:dyDescent="0.45">
      <c r="A19" t="s">
        <v>25</v>
      </c>
      <c r="B19" t="s">
        <v>144</v>
      </c>
      <c r="C19" t="s">
        <v>268</v>
      </c>
      <c r="D19" s="5" t="str">
        <f t="shared" si="0"/>
        <v>- [Rust-是否会重写-Python-解释器与有关的库，替代-C-语言地位？](Python基础库/Rust-是否会重写-Python-解释器与有关的库，替代-C-语言地位？.md)</v>
      </c>
      <c r="E19" s="5" t="str">
        <f t="shared" si="1"/>
        <v>- [Rust-是否会重写-Python-解释器与有关的库，替代-C-语言地位？](/Python基础库/Rust-是否会重写-Python-解释器与有关的库，替代-C-语言地位？.md)</v>
      </c>
      <c r="F19" t="str">
        <f t="shared" si="2"/>
        <v>- [Rust 是否会重写 Python 解释器与有关的库，替代 C 语言地位？](../../Python基础库/Rust-是否会重写-Python-解释器与有关的库，替代-C-语言地位？/)</v>
      </c>
    </row>
    <row r="20" spans="1:6" x14ac:dyDescent="0.45">
      <c r="A20" t="s">
        <v>25</v>
      </c>
      <c r="B20" t="s">
        <v>154</v>
      </c>
      <c r="C20" t="s">
        <v>281</v>
      </c>
      <c r="D20" s="5" t="str">
        <f t="shared" si="0"/>
        <v>- [Python-3-14-无GIL解释器性能测试：释放多核CPU的并行潜力](Python基础库/Python-3-14-无GIL解释器性能测试：释放多核CPU的并行潜力.md)</v>
      </c>
      <c r="E20" s="5" t="str">
        <f t="shared" si="1"/>
        <v>- [Python-3-14-无GIL解释器性能测试：释放多核CPU的并行潜力](/Python基础库/Python-3-14-无GIL解释器性能测试：释放多核CPU的并行潜力.md)</v>
      </c>
      <c r="F20" t="str">
        <f t="shared" si="2"/>
        <v>- [Python 3.14 无GIL解释器性能测试：释放多核CPU的并行潜力](../../Python基础库/Python-3-14-无GIL解释器性能测试：释放多核CPU的并行潜力/)</v>
      </c>
    </row>
    <row r="21" spans="1:6" x14ac:dyDescent="0.45">
      <c r="A21" t="s">
        <v>25</v>
      </c>
      <c r="B21" t="s">
        <v>156</v>
      </c>
      <c r="C21" t="s">
        <v>269</v>
      </c>
      <c r="D21" s="5" t="str">
        <f t="shared" si="0"/>
        <v>- [Python-2个好用的装饰器函数](Python基础库/Python-2个好用的装饰器函数.md)</v>
      </c>
      <c r="E21" s="5" t="str">
        <f t="shared" si="1"/>
        <v>- [Python-2个好用的装饰器函数](/Python基础库/Python-2个好用的装饰器函数.md)</v>
      </c>
      <c r="F21" t="str">
        <f t="shared" si="2"/>
        <v>- [Python 2个好用的装饰器函数](../../Python基础库/Python-2个好用的装饰器函数/)</v>
      </c>
    </row>
    <row r="22" spans="1:6" x14ac:dyDescent="0.45">
      <c r="A22" t="s">
        <v>25</v>
      </c>
      <c r="B22" t="s">
        <v>157</v>
      </c>
      <c r="C22" t="s">
        <v>270</v>
      </c>
      <c r="D22" s="5" t="str">
        <f t="shared" si="0"/>
        <v>- [Python-collections详解：解锁高效数据结构](Python基础库/Python-collections详解：解锁高效数据结构.md)</v>
      </c>
      <c r="E22" s="5" t="str">
        <f t="shared" si="1"/>
        <v>- [Python-collections详解：解锁高效数据结构](/Python基础库/Python-collections详解：解锁高效数据结构.md)</v>
      </c>
      <c r="F22" t="str">
        <f t="shared" si="2"/>
        <v>- [Python collections详解：解锁高效数据结构](../../Python基础库/Python-collections详解：解锁高效数据结构/)</v>
      </c>
    </row>
    <row r="23" spans="1:6" x14ac:dyDescent="0.45">
      <c r="A23" t="s">
        <v>25</v>
      </c>
      <c r="B23" t="s">
        <v>158</v>
      </c>
      <c r="C23" t="s">
        <v>271</v>
      </c>
      <c r="D23" s="5" t="str">
        <f t="shared" si="0"/>
        <v>- [Python-标准库之pathlib（二），路径操作](Python基础库/Python-标准库之pathlib（二），路径操作.md)</v>
      </c>
      <c r="E23" s="5" t="str">
        <f t="shared" si="1"/>
        <v>- [Python-标准库之pathlib（二），路径操作](/Python基础库/Python-标准库之pathlib（二），路径操作.md)</v>
      </c>
      <c r="F23" t="str">
        <f t="shared" si="2"/>
        <v>- [Python 标准库之pathlib（二），路径操作](../../Python基础库/Python-标准库之pathlib（二），路径操作/)</v>
      </c>
    </row>
    <row r="24" spans="1:6" x14ac:dyDescent="0.45">
      <c r="A24" t="s">
        <v>25</v>
      </c>
      <c r="B24" t="s">
        <v>159</v>
      </c>
      <c r="C24" t="s">
        <v>272</v>
      </c>
      <c r="D24" s="5" t="str">
        <f t="shared" si="0"/>
        <v>- [Python-基于协程的端口扫描工具](Python基础库/Python-基于协程的端口扫描工具.md)</v>
      </c>
      <c r="E24" s="5" t="str">
        <f t="shared" si="1"/>
        <v>- [Python-基于协程的端口扫描工具](/Python基础库/Python-基于协程的端口扫描工具.md)</v>
      </c>
      <c r="F24" t="str">
        <f t="shared" si="2"/>
        <v>- [Python 基于协程的端口扫描工具](../../Python基础库/Python-基于协程的端口扫描工具/)</v>
      </c>
    </row>
    <row r="25" spans="1:6" x14ac:dyDescent="0.45">
      <c r="A25" t="s">
        <v>25</v>
      </c>
      <c r="B25" t="s">
        <v>160</v>
      </c>
      <c r="C25" t="s">
        <v>273</v>
      </c>
      <c r="D25" s="5" t="str">
        <f t="shared" si="0"/>
        <v>- [Python-利用-uv-“一键”-快速部署服务](Python基础库/Python-利用-uv-“一键”-快速部署服务.md)</v>
      </c>
      <c r="E25" s="5" t="str">
        <f t="shared" si="1"/>
        <v>- [Python-利用-uv-“一键”-快速部署服务](/Python基础库/Python-利用-uv-“一键”-快速部署服务.md)</v>
      </c>
      <c r="F25" t="str">
        <f t="shared" si="2"/>
        <v>- [Python 利用 uv “一键” 快速部署服务](../../Python基础库/Python-利用-uv-“一键”-快速部署服务/)</v>
      </c>
    </row>
    <row r="26" spans="1:6" x14ac:dyDescent="0.45">
      <c r="A26" t="s">
        <v>25</v>
      </c>
      <c r="B26" t="s">
        <v>161</v>
      </c>
      <c r="C26" t="s">
        <v>274</v>
      </c>
      <c r="D26" s="5" t="str">
        <f t="shared" si="0"/>
        <v>- [Python-迈向强类型化的优雅转变](Python基础库/Python-迈向强类型化的优雅转变.md)</v>
      </c>
      <c r="E26" s="5" t="str">
        <f t="shared" si="1"/>
        <v>- [Python-迈向强类型化的优雅转变](/Python基础库/Python-迈向强类型化的优雅转变.md)</v>
      </c>
      <c r="F26" t="str">
        <f t="shared" si="2"/>
        <v>- [Python 迈向强类型化的优雅转变](../../Python基础库/Python-迈向强类型化的优雅转变/)</v>
      </c>
    </row>
    <row r="27" spans="1:6" x14ac:dyDescent="0.45">
      <c r="A27" t="s">
        <v>25</v>
      </c>
      <c r="B27" t="s">
        <v>162</v>
      </c>
      <c r="C27" t="s">
        <v>275</v>
      </c>
      <c r="D27" s="5" t="str">
        <f t="shared" si="0"/>
        <v>- [Python-项目管理新思路：用-uv-Workspace-共享虚拟环境，省时省空间！](Python基础库/Python-项目管理新思路：用-uv-Workspace-共享虚拟环境，省时省空间！.md)</v>
      </c>
      <c r="E27" s="5" t="str">
        <f t="shared" si="1"/>
        <v>- [Python-项目管理新思路：用-uv-Workspace-共享虚拟环境，省时省空间！](/Python基础库/Python-项目管理新思路：用-uv-Workspace-共享虚拟环境，省时省空间！.md)</v>
      </c>
      <c r="F27" t="str">
        <f t="shared" si="2"/>
        <v>- [Python 项目管理新思路：用 uv Workspace 共享虚拟环境，省时省空间！](../../Python基础库/Python-项目管理新思路：用-uv-Workspace-共享虚拟环境，省时省空间！/)</v>
      </c>
    </row>
    <row r="28" spans="1:6" x14ac:dyDescent="0.45">
      <c r="A28" t="s">
        <v>25</v>
      </c>
      <c r="B28" t="s">
        <v>163</v>
      </c>
      <c r="C28" t="s">
        <v>276</v>
      </c>
      <c r="D28" s="5" t="str">
        <f t="shared" si="0"/>
        <v>- [Python-新晋包项目工具uv的简单尝试](Python基础库/Python-新晋包项目工具uv的简单尝试.md)</v>
      </c>
      <c r="E28" s="5" t="str">
        <f t="shared" si="1"/>
        <v>- [Python-新晋包项目工具uv的简单尝试](/Python基础库/Python-新晋包项目工具uv的简单尝试.md)</v>
      </c>
      <c r="F28" t="str">
        <f t="shared" si="2"/>
        <v>- [Python 新晋包项目工具uv的简单尝试](../../Python基础库/Python-新晋包项目工具uv的简单尝试/)</v>
      </c>
    </row>
    <row r="29" spans="1:6" x14ac:dyDescent="0.45">
      <c r="A29" t="s">
        <v>25</v>
      </c>
      <c r="B29" t="s">
        <v>164</v>
      </c>
      <c r="C29" t="s">
        <v>277</v>
      </c>
      <c r="D29" s="5" t="str">
        <f t="shared" si="0"/>
        <v>- [Python-在指定文件夹安装三方库，并进行加载使用](Python基础库/Python-在指定文件夹安装三方库，并进行加载使用.md)</v>
      </c>
      <c r="E29" s="5" t="str">
        <f t="shared" si="1"/>
        <v>- [Python-在指定文件夹安装三方库，并进行加载使用](/Python基础库/Python-在指定文件夹安装三方库，并进行加载使用.md)</v>
      </c>
      <c r="F29" t="str">
        <f t="shared" si="2"/>
        <v>- [Python 在指定文件夹安装三方库，并进行加载使用](../../Python基础库/Python-在指定文件夹安装三方库，并进行加载使用/)</v>
      </c>
    </row>
    <row r="31" spans="1:6" s="3" customFormat="1" x14ac:dyDescent="0.45">
      <c r="A31" s="2" t="s">
        <v>173</v>
      </c>
      <c r="D31" s="6"/>
      <c r="E31" s="6"/>
    </row>
    <row r="32" spans="1:6" x14ac:dyDescent="0.45">
      <c r="A32" t="s">
        <v>25</v>
      </c>
      <c r="B32" t="s">
        <v>174</v>
      </c>
      <c r="C32" t="s">
        <v>278</v>
      </c>
      <c r="D32" s="5" t="str">
        <f>"- ["&amp;MID(B32,10,LEN(B32)-12)&amp;"]("&amp;A32&amp;"/"&amp;B32&amp;")"</f>
        <v>- [Python-装饰器的灵活实现：带参数与不带参数](Python基础库/20260204-Python-装饰器的灵活实现：带参数与不带参数.md)</v>
      </c>
      <c r="E32" s="5" t="str">
        <f>"- ["&amp;MID(B32,10,LEN(B32)-12)&amp;"](/"&amp;A32&amp;"/"&amp;B32&amp;")"</f>
        <v>- [Python-装饰器的灵活实现：带参数与不带参数](/Python基础库/20260204-Python-装饰器的灵活实现：带参数与不带参数.md)</v>
      </c>
      <c r="F32" t="str">
        <f>"- ["&amp;C32&amp;"](../../"&amp;A32&amp;"/"&amp;LEFT(B32,LEN(B32)-3)&amp;"/)"</f>
        <v>- [Python 装饰器的灵活实现：带参数与不带参数](../../Python基础库/20260204-Python-装饰器的灵活实现：带参数与不带参数/)</v>
      </c>
    </row>
    <row r="33" spans="1:6" x14ac:dyDescent="0.45">
      <c r="A33" t="s">
        <v>25</v>
      </c>
      <c r="B33" t="s">
        <v>179</v>
      </c>
      <c r="C33" t="s">
        <v>279</v>
      </c>
      <c r="D33" s="5" t="str">
        <f t="shared" ref="D33:D38" si="3">"- ["&amp;MID(B33,10,LEN(B33)-12)&amp;"]("&amp;A33&amp;"/"&amp;B33&amp;")"</f>
        <v>- [Python与Rust类型参数对比：从TypeVar到泛型T](Python基础库/20260410-Python与Rust类型参数对比：从TypeVar到泛型T.md)</v>
      </c>
      <c r="E33" s="5" t="str">
        <f t="shared" ref="E33:E38" si="4">"- ["&amp;MID(B33,10,LEN(B33)-12)&amp;"](/"&amp;A33&amp;"/"&amp;B33&amp;")"</f>
        <v>- [Python与Rust类型参数对比：从TypeVar到泛型T](/Python基础库/20260410-Python与Rust类型参数对比：从TypeVar到泛型T.md)</v>
      </c>
      <c r="F33" t="str">
        <f t="shared" ref="F33:F38" si="5">"- ["&amp;C33&amp;"](../../"&amp;A33&amp;"/"&amp;LEFT(B33,LEN(B33)-3)&amp;"/)"</f>
        <v>- [Python与Rust类型参数对比：从TypeVar到泛型T](../../Python基础库/20260410-Python与Rust类型参数对比：从TypeVar到泛型T/)</v>
      </c>
    </row>
    <row r="34" spans="1:6" x14ac:dyDescent="0.45">
      <c r="A34" t="s">
        <v>25</v>
      </c>
      <c r="B34" t="s">
        <v>331</v>
      </c>
      <c r="C34" t="s">
        <v>332</v>
      </c>
      <c r="D34" s="5" t="str">
        <f t="shared" si="3"/>
        <v>- [Python 3.15 正式发布：惰性导入、frozendict、sentinel、Tachyon 剖析器，一次全看懂](Python基础库/20261012-Python 3.15 正式发布：惰性导入、frozendict、sentinel、Tachyon 剖析器，一次全看懂.md)</v>
      </c>
      <c r="E34" s="5" t="str">
        <f t="shared" si="4"/>
        <v>- [Python 3.15 正式发布：惰性导入、frozendict、sentinel、Tachyon 剖析器，一次全看懂](/Python基础库/20261012-Python 3.15 正式发布：惰性导入、frozendict、sentinel、Tachyon 剖析器，一次全看懂.md)</v>
      </c>
      <c r="F34" t="str">
        <f t="shared" si="5"/>
        <v>- [Python 3.15 正式发布：惰性导入、frozendict、sentinel、Tachyon 剖析器，一次全看懂](../../Python基础库/20261012-Python 3.15 正式发布：惰性导入、frozendict、sentinel、Tachyon 剖析器，一次全看懂/)</v>
      </c>
    </row>
    <row r="35" spans="1:6" x14ac:dyDescent="0.45">
      <c r="A35" t="s">
        <v>25</v>
      </c>
      <c r="D35" s="5" t="e">
        <f t="shared" si="3"/>
        <v>#VALUE!</v>
      </c>
      <c r="E35" s="5" t="e">
        <f t="shared" si="4"/>
        <v>#VALUE!</v>
      </c>
      <c r="F35" t="e">
        <f t="shared" si="5"/>
        <v>#VALUE!</v>
      </c>
    </row>
    <row r="36" spans="1:6" x14ac:dyDescent="0.45">
      <c r="A36" t="s">
        <v>25</v>
      </c>
      <c r="D36" s="5" t="e">
        <f t="shared" si="3"/>
        <v>#VALUE!</v>
      </c>
      <c r="E36" s="5" t="e">
        <f t="shared" si="4"/>
        <v>#VALUE!</v>
      </c>
      <c r="F36" t="e">
        <f t="shared" si="5"/>
        <v>#VALUE!</v>
      </c>
    </row>
    <row r="37" spans="1:6" x14ac:dyDescent="0.45">
      <c r="A37" t="s">
        <v>25</v>
      </c>
      <c r="D37" s="5" t="e">
        <f t="shared" si="3"/>
        <v>#VALUE!</v>
      </c>
      <c r="E37" s="5" t="e">
        <f t="shared" si="4"/>
        <v>#VALUE!</v>
      </c>
      <c r="F37" t="e">
        <f t="shared" si="5"/>
        <v>#VALUE!</v>
      </c>
    </row>
    <row r="38" spans="1:6" x14ac:dyDescent="0.45">
      <c r="A38" t="s">
        <v>25</v>
      </c>
      <c r="D38" s="5" t="e">
        <f t="shared" si="3"/>
        <v>#VALUE!</v>
      </c>
      <c r="E38" s="5" t="e">
        <f t="shared" si="4"/>
        <v>#VALUE!</v>
      </c>
      <c r="F38" t="e">
        <f t="shared" si="5"/>
        <v>#VALUE!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"/>
  <sheetViews>
    <sheetView tabSelected="1" workbookViewId="0">
      <pane ySplit="1" topLeftCell="A23" activePane="bottomLeft" state="frozen"/>
      <selection pane="bottomLeft" activeCell="F44" sqref="F44"/>
    </sheetView>
  </sheetViews>
  <sheetFormatPr defaultRowHeight="16.5" x14ac:dyDescent="0.45"/>
  <cols>
    <col min="1" max="1" width="14.69140625" customWidth="1"/>
    <col min="2" max="2" width="37.765625" customWidth="1"/>
    <col min="3" max="3" width="13.69140625" customWidth="1"/>
    <col min="4" max="5" width="12.3046875" style="5" customWidth="1"/>
    <col min="6" max="6" width="57.53515625" customWidth="1"/>
  </cols>
  <sheetData>
    <row r="1" spans="1:6" s="1" customFormat="1" x14ac:dyDescent="0.45">
      <c r="A1" s="1" t="s">
        <v>2</v>
      </c>
      <c r="B1" s="1" t="s">
        <v>0</v>
      </c>
      <c r="C1" s="1" t="s">
        <v>188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38</v>
      </c>
      <c r="B2" t="s">
        <v>39</v>
      </c>
      <c r="C2" t="s">
        <v>194</v>
      </c>
      <c r="D2" s="5" t="str">
        <f>"- ["&amp;LEFT(B2,LEN(B2)-3)&amp;"]("&amp;A2&amp;"/"&amp;B2&amp;")"</f>
        <v>- [对比Excel，利用pandas进行数据分析各种用法](Python数据处理/对比Excel，利用pandas进行数据分析各种用法.md)</v>
      </c>
      <c r="E2" s="5" t="str">
        <f>"- ["&amp;SUBSTITUTE(B2,".md","")&amp;"](/"&amp;A2&amp;"/"&amp;B2&amp;")"</f>
        <v>- [对比Excel，利用pandas进行数据分析各种用法](/Python数据处理/对比Excel，利用pandas进行数据分析各种用法.md)</v>
      </c>
      <c r="F2" t="str">
        <f>"- ["&amp;C2&amp;"](../../"&amp;A2&amp;"/"&amp;LEFT(B2,LEN(B2)-3)&amp;"/)"</f>
        <v>- [对比Excel，利用pandas进行数据分析各种用法](../../Python数据处理/对比Excel，利用pandas进行数据分析各种用法/)</v>
      </c>
    </row>
    <row r="3" spans="1:6" x14ac:dyDescent="0.45">
      <c r="A3" t="s">
        <v>38</v>
      </c>
      <c r="B3" t="s">
        <v>40</v>
      </c>
      <c r="C3" t="s">
        <v>195</v>
      </c>
      <c r="D3" s="5" t="str">
        <f t="shared" ref="D3:D47" si="0">"- ["&amp;LEFT(B3,LEN(B3)-3)&amp;"]("&amp;A3&amp;"/"&amp;B3&amp;")"</f>
        <v>- [对csv文件，又get了新的认知](Python数据处理/对csv文件，又get了新的认知.md)</v>
      </c>
      <c r="E3" s="5" t="str">
        <f t="shared" ref="E3:E47" si="1">"- ["&amp;SUBSTITUTE(B3,".md","")&amp;"](/"&amp;A3&amp;"/"&amp;B3&amp;")"</f>
        <v>- [对csv文件，又get了新的认知](/Python数据处理/对csv文件，又get了新的认知.md)</v>
      </c>
      <c r="F3" t="str">
        <f t="shared" ref="F3:F47" si="2">"- ["&amp;C3&amp;"](../../"&amp;A3&amp;"/"&amp;LEFT(B3,LEN(B3)-3)&amp;"/)"</f>
        <v>- [对csv文件，又get了新的认知](../../Python数据处理/对csv文件，又get了新的认知/)</v>
      </c>
    </row>
    <row r="4" spans="1:6" x14ac:dyDescent="0.45">
      <c r="A4" t="s">
        <v>38</v>
      </c>
      <c r="B4" t="s">
        <v>41</v>
      </c>
      <c r="C4" t="s">
        <v>196</v>
      </c>
      <c r="D4" s="5" t="str">
        <f t="shared" si="0"/>
        <v>- [对csv文件，又get了新的认知（二）](Python数据处理/对csv文件，又get了新的认知（二）.md)</v>
      </c>
      <c r="E4" s="5" t="str">
        <f t="shared" si="1"/>
        <v>- [对csv文件，又get了新的认知（二）](/Python数据处理/对csv文件，又get了新的认知（二）.md)</v>
      </c>
      <c r="F4" t="str">
        <f t="shared" si="2"/>
        <v>- [对csv文件，又get了新的认知（二）](../../Python数据处理/对csv文件，又get了新的认知（二）/)</v>
      </c>
    </row>
    <row r="5" spans="1:6" x14ac:dyDescent="0.45">
      <c r="A5" t="s">
        <v>38</v>
      </c>
      <c r="B5" t="s">
        <v>42</v>
      </c>
      <c r="C5" t="s">
        <v>197</v>
      </c>
      <c r="D5" s="5" t="str">
        <f t="shared" si="0"/>
        <v>- [历史双色球数据分析---python](Python数据处理/历史双色球数据分析---python.md)</v>
      </c>
      <c r="E5" s="5" t="str">
        <f t="shared" si="1"/>
        <v>- [历史双色球数据分析---python](/Python数据处理/历史双色球数据分析---python.md)</v>
      </c>
      <c r="F5" t="str">
        <f t="shared" si="2"/>
        <v>- [历史双色球数据分析---python](../../Python数据处理/历史双色球数据分析---python/)</v>
      </c>
    </row>
    <row r="6" spans="1:6" x14ac:dyDescent="0.45">
      <c r="A6" t="s">
        <v>38</v>
      </c>
      <c r="B6" t="s">
        <v>43</v>
      </c>
      <c r="C6" t="s">
        <v>198</v>
      </c>
      <c r="D6" s="5" t="str">
        <f t="shared" si="0"/>
        <v>- [利用Python计算两个地理位置之间的中点](Python数据处理/利用Python计算两个地理位置之间的中点.md)</v>
      </c>
      <c r="E6" s="5" t="str">
        <f t="shared" si="1"/>
        <v>- [利用Python计算两个地理位置之间的中点](/Python数据处理/利用Python计算两个地理位置之间的中点.md)</v>
      </c>
      <c r="F6" t="str">
        <f t="shared" si="2"/>
        <v>- [利用Python计算两个地理位置之间的中点](../../Python数据处理/利用Python计算两个地理位置之间的中点/)</v>
      </c>
    </row>
    <row r="7" spans="1:6" x14ac:dyDescent="0.45">
      <c r="A7" t="s">
        <v>38</v>
      </c>
      <c r="B7" t="s">
        <v>44</v>
      </c>
      <c r="C7" t="s">
        <v>199</v>
      </c>
      <c r="D7" s="5" t="str">
        <f t="shared" si="0"/>
        <v>- [利用Python模拟Excel数据透视表具有“值显示方式”功能](Python数据处理/利用Python模拟Excel数据透视表具有“值显示方式”功能.md)</v>
      </c>
      <c r="E7" s="5" t="str">
        <f t="shared" si="1"/>
        <v>- [利用Python模拟Excel数据透视表具有“值显示方式”功能](/Python数据处理/利用Python模拟Excel数据透视表具有“值显示方式”功能.md)</v>
      </c>
      <c r="F7" t="str">
        <f t="shared" si="2"/>
        <v>- [利用Python模拟Excel数据透视表具有“值显示方式”功能](../../Python数据处理/利用Python模拟Excel数据透视表具有“值显示方式”功能/)</v>
      </c>
    </row>
    <row r="8" spans="1:6" x14ac:dyDescent="0.45">
      <c r="A8" t="s">
        <v>38</v>
      </c>
      <c r="B8" t="s">
        <v>45</v>
      </c>
      <c r="C8" t="s">
        <v>200</v>
      </c>
      <c r="D8" s="5" t="str">
        <f t="shared" si="0"/>
        <v>- [像excel透视表一样使用pandas透视函数](Python数据处理/像excel透视表一样使用pandas透视函数.md)</v>
      </c>
      <c r="E8" s="5" t="str">
        <f t="shared" si="1"/>
        <v>- [像excel透视表一样使用pandas透视函数](/Python数据处理/像excel透视表一样使用pandas透视函数.md)</v>
      </c>
      <c r="F8" t="str">
        <f t="shared" si="2"/>
        <v>- [像excel透视表一样使用pandas透视函数](../../Python数据处理/像excel透视表一样使用pandas透视函数/)</v>
      </c>
    </row>
    <row r="9" spans="1:6" x14ac:dyDescent="0.45">
      <c r="A9" t="s">
        <v>38</v>
      </c>
      <c r="B9" t="s">
        <v>46</v>
      </c>
      <c r="C9" t="s">
        <v>201</v>
      </c>
      <c r="D9" s="5" t="str">
        <f t="shared" si="0"/>
        <v>- [Numpy中的shuffle和permutation区别](Python数据处理/Numpy中的shuffle和permutation区别.md)</v>
      </c>
      <c r="E9" s="5" t="str">
        <f t="shared" si="1"/>
        <v>- [Numpy中的shuffle和permutation区别](/Python数据处理/Numpy中的shuffle和permutation区别.md)</v>
      </c>
      <c r="F9" t="str">
        <f t="shared" si="2"/>
        <v>- [Numpy中的shuffle和permutation区别](../../Python数据处理/Numpy中的shuffle和permutation区别/)</v>
      </c>
    </row>
    <row r="10" spans="1:6" x14ac:dyDescent="0.45">
      <c r="A10" t="s">
        <v>38</v>
      </c>
      <c r="B10" t="s">
        <v>47</v>
      </c>
      <c r="C10" t="s">
        <v>202</v>
      </c>
      <c r="D10" s="5" t="str">
        <f t="shared" si="0"/>
        <v>- [pandas-错误提醒：FutureWarning--elementwise-comparison-failed;](Python数据处理/pandas-错误提醒：FutureWarning--elementwise-comparison-failed;.md)</v>
      </c>
      <c r="E10" s="5" t="str">
        <f t="shared" si="1"/>
        <v>- [pandas-错误提醒：FutureWarning--elementwise-comparison-failed;](/Python数据处理/pandas-错误提醒：FutureWarning--elementwise-comparison-failed;.md)</v>
      </c>
      <c r="F10" t="str">
        <f t="shared" si="2"/>
        <v>- [pandas-错误提醒：FutureWarning--elementwise-comparison-failed;](../../Python数据处理/pandas-错误提醒：FutureWarning--elementwise-comparison-failed;/)</v>
      </c>
    </row>
    <row r="11" spans="1:6" x14ac:dyDescent="0.45">
      <c r="A11" t="s">
        <v>38</v>
      </c>
      <c r="B11" t="s">
        <v>48</v>
      </c>
      <c r="C11" t="s">
        <v>203</v>
      </c>
      <c r="D11" s="5" t="str">
        <f t="shared" si="0"/>
        <v>- [Pandas数据处理误区要知其然知其所以然](Python数据处理/Pandas数据处理误区要知其然知其所以然.md)</v>
      </c>
      <c r="E11" s="5" t="str">
        <f t="shared" si="1"/>
        <v>- [Pandas数据处理误区要知其然知其所以然](/Python数据处理/Pandas数据处理误区要知其然知其所以然.md)</v>
      </c>
      <c r="F11" t="str">
        <f t="shared" si="2"/>
        <v>- [Pandas数据处理误区要知其然知其所以然](../../Python数据处理/Pandas数据处理误区要知其然知其所以然/)</v>
      </c>
    </row>
    <row r="12" spans="1:6" x14ac:dyDescent="0.45">
      <c r="A12" t="s">
        <v>38</v>
      </c>
      <c r="B12" t="s">
        <v>49</v>
      </c>
      <c r="C12" t="s">
        <v>224</v>
      </c>
      <c r="D12" s="5" t="str">
        <f t="shared" si="0"/>
        <v>- [Python--Numpy中的范数](Python数据处理/Python--Numpy中的范数.md)</v>
      </c>
      <c r="E12" s="5" t="str">
        <f t="shared" si="1"/>
        <v>- [Python--Numpy中的范数](/Python数据处理/Python--Numpy中的范数.md)</v>
      </c>
      <c r="F12" t="str">
        <f t="shared" si="2"/>
        <v>- [Python Numpy中的范数](../../Python数据处理/Python--Numpy中的范数/)</v>
      </c>
    </row>
    <row r="13" spans="1:6" x14ac:dyDescent="0.45">
      <c r="A13" t="s">
        <v>38</v>
      </c>
      <c r="B13" t="s">
        <v>50</v>
      </c>
      <c r="C13" t="s">
        <v>225</v>
      </c>
      <c r="D13" s="5" t="str">
        <f t="shared" si="0"/>
        <v>- [Python-把csv文件转换为excel文件](Python数据处理/Python-把csv文件转换为excel文件.md)</v>
      </c>
      <c r="E13" s="5" t="str">
        <f t="shared" si="1"/>
        <v>- [Python-把csv文件转换为excel文件](/Python数据处理/Python-把csv文件转换为excel文件.md)</v>
      </c>
      <c r="F13" t="str">
        <f t="shared" si="2"/>
        <v>- [Python 把csv文件转换为excel文件](../../Python数据处理/Python-把csv文件转换为excel文件/)</v>
      </c>
    </row>
    <row r="14" spans="1:6" x14ac:dyDescent="0.45">
      <c r="A14" t="s">
        <v>38</v>
      </c>
      <c r="B14" t="s">
        <v>51</v>
      </c>
      <c r="C14" t="s">
        <v>226</v>
      </c>
      <c r="D14" s="5" t="str">
        <f t="shared" si="0"/>
        <v>- [Python-常用的加解密算法实例应用](Python数据处理/Python-常用的加解密算法实例应用.md)</v>
      </c>
      <c r="E14" s="5" t="str">
        <f t="shared" si="1"/>
        <v>- [Python-常用的加解密算法实例应用](/Python数据处理/Python-常用的加解密算法实例应用.md)</v>
      </c>
      <c r="F14" t="str">
        <f t="shared" si="2"/>
        <v>- [Python 常用的加解密算法实例应用](../../Python数据处理/Python-常用的加解密算法实例应用/)</v>
      </c>
    </row>
    <row r="15" spans="1:6" x14ac:dyDescent="0.45">
      <c r="A15" t="s">
        <v>38</v>
      </c>
      <c r="B15" t="s">
        <v>52</v>
      </c>
      <c r="C15" t="s">
        <v>227</v>
      </c>
      <c r="D15" s="5" t="str">
        <f t="shared" si="0"/>
        <v>- [Python-处理Excel文件为了通用原则，建议用openpyxl库](Python数据处理/Python-处理Excel文件为了通用原则，建议用openpyxl库.md)</v>
      </c>
      <c r="E15" s="5" t="str">
        <f t="shared" si="1"/>
        <v>- [Python-处理Excel文件为了通用原则，建议用openpyxl库](/Python数据处理/Python-处理Excel文件为了通用原则，建议用openpyxl库.md)</v>
      </c>
      <c r="F15" t="str">
        <f t="shared" si="2"/>
        <v>- [Python 处理Excel文件为了通用原则，建议用openpyxl库](../../Python数据处理/Python-处理Excel文件为了通用原则，建议用openpyxl库/)</v>
      </c>
    </row>
    <row r="16" spans="1:6" x14ac:dyDescent="0.45">
      <c r="A16" t="s">
        <v>38</v>
      </c>
      <c r="B16" t="s">
        <v>53</v>
      </c>
      <c r="C16" t="s">
        <v>228</v>
      </c>
      <c r="D16" s="5" t="str">
        <f t="shared" si="0"/>
        <v>- [Python-多线程，真实使用代码](Python数据处理/Python-多线程，真实使用代码.md)</v>
      </c>
      <c r="E16" s="5" t="str">
        <f t="shared" si="1"/>
        <v>- [Python-多线程，真实使用代码](/Python数据处理/Python-多线程，真实使用代码.md)</v>
      </c>
      <c r="F16" t="str">
        <f t="shared" si="2"/>
        <v>- [Python 多线程，真实使用代码](../../Python数据处理/Python-多线程，真实使用代码/)</v>
      </c>
    </row>
    <row r="17" spans="1:6" x14ac:dyDescent="0.45">
      <c r="A17" t="s">
        <v>38</v>
      </c>
      <c r="B17" t="s">
        <v>54</v>
      </c>
      <c r="C17" t="s">
        <v>229</v>
      </c>
      <c r="D17" s="5" t="str">
        <f t="shared" si="0"/>
        <v>- [Python-基于datetime库的日期时间数据处理](Python数据处理/Python-基于datetime库的日期时间数据处理.md)</v>
      </c>
      <c r="E17" s="5" t="str">
        <f t="shared" si="1"/>
        <v>- [Python-基于datetime库的日期时间数据处理](/Python数据处理/Python-基于datetime库的日期时间数据处理.md)</v>
      </c>
      <c r="F17" t="str">
        <f t="shared" si="2"/>
        <v>- [Python 基于datetime库的日期时间数据处理](../../Python数据处理/Python-基于datetime库的日期时间数据处理/)</v>
      </c>
    </row>
    <row r="18" spans="1:6" x14ac:dyDescent="0.45">
      <c r="A18" t="s">
        <v>38</v>
      </c>
      <c r="B18" t="s">
        <v>55</v>
      </c>
      <c r="C18" t="s">
        <v>230</v>
      </c>
      <c r="D18" s="5" t="str">
        <f t="shared" si="0"/>
        <v>- [Python-利用aiohttp异步流式下载文件](Python数据处理/Python-利用aiohttp异步流式下载文件.md)</v>
      </c>
      <c r="E18" s="5" t="str">
        <f t="shared" si="1"/>
        <v>- [Python-利用aiohttp异步流式下载文件](/Python数据处理/Python-利用aiohttp异步流式下载文件.md)</v>
      </c>
      <c r="F18" t="str">
        <f t="shared" si="2"/>
        <v>- [Python 利用aiohttp异步流式下载文件](../../Python数据处理/Python-利用aiohttp异步流式下载文件/)</v>
      </c>
    </row>
    <row r="19" spans="1:6" x14ac:dyDescent="0.45">
      <c r="A19" t="s">
        <v>38</v>
      </c>
      <c r="B19" t="s">
        <v>56</v>
      </c>
      <c r="C19" t="s">
        <v>231</v>
      </c>
      <c r="D19" s="5" t="str">
        <f t="shared" si="0"/>
        <v>- [Python-利用Pandas把数据直接导入Mysql](Python数据处理/Python-利用Pandas把数据直接导入Mysql.md)</v>
      </c>
      <c r="E19" s="5" t="str">
        <f t="shared" si="1"/>
        <v>- [Python-利用Pandas把数据直接导入Mysql](/Python数据处理/Python-利用Pandas把数据直接导入Mysql.md)</v>
      </c>
      <c r="F19" t="str">
        <f t="shared" si="2"/>
        <v>- [Python 利用Pandas把数据直接导入Mysql](../../Python数据处理/Python-利用Pandas把数据直接导入Mysql/)</v>
      </c>
    </row>
    <row r="20" spans="1:6" x14ac:dyDescent="0.45">
      <c r="A20" t="s">
        <v>38</v>
      </c>
      <c r="B20" t="s">
        <v>57</v>
      </c>
      <c r="C20" t="s">
        <v>232</v>
      </c>
      <c r="D20" s="5" t="str">
        <f t="shared" si="0"/>
        <v>- [Python-利用pandas对数据进行特定排序](Python数据处理/Python-利用pandas对数据进行特定排序.md)</v>
      </c>
      <c r="E20" s="5" t="str">
        <f t="shared" si="1"/>
        <v>- [Python-利用pandas对数据进行特定排序](/Python数据处理/Python-利用pandas对数据进行特定排序.md)</v>
      </c>
      <c r="F20" t="str">
        <f t="shared" si="2"/>
        <v>- [Python 利用pandas对数据进行特定排序](../../Python数据处理/Python-利用pandas对数据进行特定排序/)</v>
      </c>
    </row>
    <row r="21" spans="1:6" x14ac:dyDescent="0.45">
      <c r="A21" t="s">
        <v>38</v>
      </c>
      <c r="B21" t="s">
        <v>58</v>
      </c>
      <c r="C21" t="s">
        <v>233</v>
      </c>
      <c r="D21" s="5" t="str">
        <f t="shared" si="0"/>
        <v>- [Python-两个字典如何实现相加？（相同的键，值相加）](Python数据处理/Python-两个字典如何实现相加？（相同的键，值相加）.md)</v>
      </c>
      <c r="E21" s="5" t="str">
        <f t="shared" si="1"/>
        <v>- [Python-两个字典如何实现相加？（相同的键，值相加）](/Python数据处理/Python-两个字典如何实现相加？（相同的键，值相加）.md)</v>
      </c>
      <c r="F21" t="str">
        <f t="shared" si="2"/>
        <v>- [Python 两个字典如何实现相加？（相同的键，值相加）](../../Python数据处理/Python-两个字典如何实现相加？（相同的键，值相加）/)</v>
      </c>
    </row>
    <row r="22" spans="1:6" x14ac:dyDescent="0.45">
      <c r="A22" t="s">
        <v>38</v>
      </c>
      <c r="B22" t="s">
        <v>59</v>
      </c>
      <c r="C22" t="s">
        <v>234</v>
      </c>
      <c r="D22" s="5" t="str">
        <f t="shared" si="0"/>
        <v>- [Python-小知识系列（一）](Python数据处理/Python-小知识系列（一）.md)</v>
      </c>
      <c r="E22" s="5" t="str">
        <f t="shared" si="1"/>
        <v>- [Python-小知识系列（一）](/Python数据处理/Python-小知识系列（一）.md)</v>
      </c>
      <c r="F22" t="str">
        <f t="shared" si="2"/>
        <v>- [Python 小知识系列（一）](../../Python数据处理/Python-小知识系列（一）/)</v>
      </c>
    </row>
    <row r="23" spans="1:6" x14ac:dyDescent="0.45">
      <c r="A23" t="s">
        <v>38</v>
      </c>
      <c r="B23" t="s">
        <v>60</v>
      </c>
      <c r="C23" t="s">
        <v>235</v>
      </c>
      <c r="D23" s="5" t="str">
        <f t="shared" si="0"/>
        <v>- [Python-字符串格式化方法总结](Python数据处理/Python-字符串格式化方法总结.md)</v>
      </c>
      <c r="E23" s="5" t="str">
        <f t="shared" si="1"/>
        <v>- [Python-字符串格式化方法总结](/Python数据处理/Python-字符串格式化方法总结.md)</v>
      </c>
      <c r="F23" t="str">
        <f t="shared" si="2"/>
        <v>- [Python 字符串格式化方法总结](../../Python数据处理/Python-字符串格式化方法总结/)</v>
      </c>
    </row>
    <row r="24" spans="1:6" x14ac:dyDescent="0.45">
      <c r="A24" t="s">
        <v>38</v>
      </c>
      <c r="B24" t="s">
        <v>61</v>
      </c>
      <c r="C24" t="s">
        <v>236</v>
      </c>
      <c r="D24" s="5" t="str">
        <f t="shared" si="0"/>
        <v>- [Python-jupyter-常用语句汇总](Python数据处理/Python-jupyter-常用语句汇总.md)</v>
      </c>
      <c r="E24" s="5" t="str">
        <f t="shared" si="1"/>
        <v>- [Python-jupyter-常用语句汇总](/Python数据处理/Python-jupyter-常用语句汇总.md)</v>
      </c>
      <c r="F24" t="str">
        <f t="shared" si="2"/>
        <v>- [Python jupyter 常用语句汇总](../../Python数据处理/Python-jupyter-常用语句汇总/)</v>
      </c>
    </row>
    <row r="25" spans="1:6" x14ac:dyDescent="0.45">
      <c r="A25" t="s">
        <v>38</v>
      </c>
      <c r="B25" t="s">
        <v>62</v>
      </c>
      <c r="C25" t="s">
        <v>250</v>
      </c>
      <c r="D25" s="5" t="str">
        <f t="shared" si="0"/>
        <v>- [Python-pandas-2-0-初探](Python数据处理/Python-pandas-2-0-初探.md)</v>
      </c>
      <c r="E25" s="5" t="str">
        <f t="shared" si="1"/>
        <v>- [Python-pandas-2-0-初探](/Python数据处理/Python-pandas-2-0-初探.md)</v>
      </c>
      <c r="F25" t="str">
        <f t="shared" si="2"/>
        <v>- [Python pandas.2.0 初探](../../Python数据处理/Python-pandas-2-0-初探/)</v>
      </c>
    </row>
    <row r="26" spans="1:6" x14ac:dyDescent="0.45">
      <c r="A26" t="s">
        <v>38</v>
      </c>
      <c r="B26" t="s">
        <v>63</v>
      </c>
      <c r="C26" t="s">
        <v>237</v>
      </c>
      <c r="D26" s="5" t="str">
        <f t="shared" si="0"/>
        <v>- [Python-pandas-里面的数据类型坑，astype要慎用](Python数据处理/Python-pandas-里面的数据类型坑，astype要慎用.md)</v>
      </c>
      <c r="E26" s="5" t="str">
        <f t="shared" si="1"/>
        <v>- [Python-pandas-里面的数据类型坑，astype要慎用](/Python数据处理/Python-pandas-里面的数据类型坑，astype要慎用.md)</v>
      </c>
      <c r="F26" t="str">
        <f t="shared" si="2"/>
        <v>- [Python pandas 里面的数据类型坑，astype要慎用](../../Python数据处理/Python-pandas-里面的数据类型坑，astype要慎用/)</v>
      </c>
    </row>
    <row r="27" spans="1:6" x14ac:dyDescent="0.45">
      <c r="A27" t="s">
        <v>38</v>
      </c>
      <c r="B27" t="s">
        <v>64</v>
      </c>
      <c r="C27" t="s">
        <v>238</v>
      </c>
      <c r="D27" s="5" t="str">
        <f t="shared" si="0"/>
        <v>- [Python-pandas-数据筛选与赋值升级版详解](Python数据处理/Python-pandas-数据筛选与赋值升级版详解.md)</v>
      </c>
      <c r="E27" s="5" t="str">
        <f t="shared" si="1"/>
        <v>- [Python-pandas-数据筛选与赋值升级版详解](/Python数据处理/Python-pandas-数据筛选与赋值升级版详解.md)</v>
      </c>
      <c r="F27" t="str">
        <f t="shared" si="2"/>
        <v>- [Python pandas 数据筛选与赋值升级版详解](../../Python数据处理/Python-pandas-数据筛选与赋值升级版详解/)</v>
      </c>
    </row>
    <row r="28" spans="1:6" x14ac:dyDescent="0.45">
      <c r="A28" t="s">
        <v>38</v>
      </c>
      <c r="B28" t="s">
        <v>65</v>
      </c>
      <c r="C28" t="s">
        <v>239</v>
      </c>
      <c r="D28" s="5" t="str">
        <f t="shared" si="0"/>
        <v>- [Python-pandas-数据无法正常分列](Python数据处理/Python-pandas-数据无法正常分列.md)</v>
      </c>
      <c r="E28" s="5" t="str">
        <f t="shared" si="1"/>
        <v>- [Python-pandas-数据无法正常分列](/Python数据处理/Python-pandas-数据无法正常分列.md)</v>
      </c>
      <c r="F28" t="str">
        <f t="shared" si="2"/>
        <v>- [Python pandas 数据无法正常分列](../../Python数据处理/Python-pandas-数据无法正常分列/)</v>
      </c>
    </row>
    <row r="29" spans="1:6" x14ac:dyDescent="0.45">
      <c r="A29" t="s">
        <v>38</v>
      </c>
      <c r="B29" t="s">
        <v>66</v>
      </c>
      <c r="C29" t="s">
        <v>251</v>
      </c>
      <c r="D29" s="5" t="str">
        <f t="shared" si="0"/>
        <v>- [Python-pandas-str-replace-不起作用](Python数据处理/Python-pandas-str-replace-不起作用.md)</v>
      </c>
      <c r="E29" s="5" t="str">
        <f t="shared" si="1"/>
        <v>- [Python-pandas-str-replace-不起作用](/Python数据处理/Python-pandas-str-replace-不起作用.md)</v>
      </c>
      <c r="F29" t="str">
        <f t="shared" si="2"/>
        <v>- [Python pandas.str.replace 不起作用](../../Python数据处理/Python-pandas-str-replace-不起作用/)</v>
      </c>
    </row>
    <row r="30" spans="1:6" x14ac:dyDescent="0.45">
      <c r="A30" t="s">
        <v>38</v>
      </c>
      <c r="B30" t="s">
        <v>67</v>
      </c>
      <c r="C30" t="s">
        <v>240</v>
      </c>
      <c r="D30" s="5" t="str">
        <f t="shared" si="0"/>
        <v>- [Python-pandas遍历行数据的2种方法](Python数据处理/Python-pandas遍历行数据的2种方法.md)</v>
      </c>
      <c r="E30" s="5" t="str">
        <f t="shared" si="1"/>
        <v>- [Python-pandas遍历行数据的2种方法](/Python数据处理/Python-pandas遍历行数据的2种方法.md)</v>
      </c>
      <c r="F30" t="str">
        <f t="shared" si="2"/>
        <v>- [Python pandas遍历行数据的2种方法](../../Python数据处理/Python-pandas遍历行数据的2种方法/)</v>
      </c>
    </row>
    <row r="31" spans="1:6" x14ac:dyDescent="0.45">
      <c r="A31" t="s">
        <v>38</v>
      </c>
      <c r="B31" t="s">
        <v>68</v>
      </c>
      <c r="C31" t="s">
        <v>241</v>
      </c>
      <c r="D31" s="5" t="str">
        <f t="shared" si="0"/>
        <v>- [Python-pandas数据分列，分割符号&amp;固定宽度](Python数据处理/Python-pandas数据分列，分割符号&amp;固定宽度.md)</v>
      </c>
      <c r="E31" s="5" t="str">
        <f t="shared" si="1"/>
        <v>- [Python-pandas数据分列，分割符号&amp;固定宽度](/Python数据处理/Python-pandas数据分列，分割符号&amp;固定宽度.md)</v>
      </c>
      <c r="F31" t="str">
        <f t="shared" si="2"/>
        <v>- [Python pandas数据分列，分割符号&amp;固定宽度](../../Python数据处理/Python-pandas数据分列，分割符号&amp;固定宽度/)</v>
      </c>
    </row>
    <row r="32" spans="1:6" x14ac:dyDescent="0.45">
      <c r="A32" t="s">
        <v>38</v>
      </c>
      <c r="B32" t="s">
        <v>69</v>
      </c>
      <c r="C32" t="s">
        <v>242</v>
      </c>
      <c r="D32" s="5" t="str">
        <f t="shared" si="0"/>
        <v>- [Python-pandas数据计数函数value_counts](Python数据处理/Python-pandas数据计数函数value_counts.md)</v>
      </c>
      <c r="E32" s="5" t="str">
        <f t="shared" si="1"/>
        <v>- [Python-pandas数据计数函数value_counts](/Python数据处理/Python-pandas数据计数函数value_counts.md)</v>
      </c>
      <c r="F32" t="str">
        <f t="shared" si="2"/>
        <v>- [Python pandas数据计数函数value_counts](../../Python数据处理/Python-pandas数据计数函数value_counts/)</v>
      </c>
    </row>
    <row r="33" spans="1:6" x14ac:dyDescent="0.45">
      <c r="A33" t="s">
        <v>38</v>
      </c>
      <c r="B33" t="s">
        <v>70</v>
      </c>
      <c r="C33" t="s">
        <v>243</v>
      </c>
      <c r="D33" s="5" t="str">
        <f t="shared" si="0"/>
        <v>- [Python-pandas在读取csv文件时（linux与windows之间传输），数据行数不一致的问题](Python数据处理/Python-pandas在读取csv文件时（linux与windows之间传输），数据行数不一致的问题.md)</v>
      </c>
      <c r="E33" s="5" t="str">
        <f t="shared" si="1"/>
        <v>- [Python-pandas在读取csv文件时（linux与windows之间传输），数据行数不一致的问题](/Python数据处理/Python-pandas在读取csv文件时（linux与windows之间传输），数据行数不一致的问题.md)</v>
      </c>
      <c r="F33" t="str">
        <f t="shared" si="2"/>
        <v>- [Python pandas在读取csv文件时（linux与windows之间传输），数据行数不一致的问题](../../Python数据处理/Python-pandas在读取csv文件时（linux与windows之间传输），数据行数不一致的问题/)</v>
      </c>
    </row>
    <row r="34" spans="1:6" x14ac:dyDescent="0.45">
      <c r="A34" t="s">
        <v>38</v>
      </c>
      <c r="B34" t="s">
        <v>71</v>
      </c>
      <c r="C34" t="s">
        <v>296</v>
      </c>
      <c r="D34" s="5" t="str">
        <f t="shared" si="0"/>
        <v>- [Python常用语句汇总](Python数据处理/Python常用语句汇总.md)</v>
      </c>
      <c r="E34" s="5" t="str">
        <f t="shared" si="1"/>
        <v>- [Python常用语句汇总](/Python数据处理/Python常用语句汇总.md)</v>
      </c>
      <c r="F34" t="str">
        <f t="shared" si="2"/>
        <v>- [Python 常用语句汇总](../../Python数据处理/Python常用语句汇总/)</v>
      </c>
    </row>
    <row r="35" spans="1:6" x14ac:dyDescent="0.45">
      <c r="A35" t="s">
        <v>38</v>
      </c>
      <c r="B35" t="s">
        <v>72</v>
      </c>
      <c r="C35" t="s">
        <v>204</v>
      </c>
      <c r="D35" s="5" t="str">
        <f t="shared" si="0"/>
        <v>- [Python加载txt数据乱码问题升级版解决方法](Python数据处理/Python加载txt数据乱码问题升级版解决方法.md)</v>
      </c>
      <c r="E35" s="5" t="str">
        <f t="shared" si="1"/>
        <v>- [Python加载txt数据乱码问题升级版解决方法](/Python数据处理/Python加载txt数据乱码问题升级版解决方法.md)</v>
      </c>
      <c r="F35" t="str">
        <f t="shared" si="2"/>
        <v>- [Python加载txt数据乱码问题升级版解决方法](../../Python数据处理/Python加载txt数据乱码问题升级版解决方法/)</v>
      </c>
    </row>
    <row r="36" spans="1:6" x14ac:dyDescent="0.45">
      <c r="A36" t="s">
        <v>38</v>
      </c>
      <c r="B36" t="s">
        <v>73</v>
      </c>
      <c r="C36" t="s">
        <v>252</v>
      </c>
      <c r="D36" s="5" t="str">
        <f t="shared" si="0"/>
        <v>- [Python数据处理中-pd-concat-与-pd-merge-区别](Python数据处理/Python数据处理中-pd-concat-与-pd-merge-区别.md)</v>
      </c>
      <c r="E36" s="5" t="str">
        <f t="shared" si="1"/>
        <v>- [Python数据处理中-pd-concat-与-pd-merge-区别](/Python数据处理/Python数据处理中-pd-concat-与-pd-merge-区别.md)</v>
      </c>
      <c r="F36" t="str">
        <f t="shared" si="2"/>
        <v>- [Python数据处理中 pd.concat 与 pd.merge 区别](../../Python数据处理/Python数据处理中-pd-concat-与-pd-merge-区别/)</v>
      </c>
    </row>
    <row r="37" spans="1:6" x14ac:dyDescent="0.45">
      <c r="A37" t="s">
        <v>38</v>
      </c>
      <c r="B37" t="s">
        <v>74</v>
      </c>
      <c r="C37" t="s">
        <v>244</v>
      </c>
      <c r="D37" s="5" t="str">
        <f t="shared" si="0"/>
        <v>- [Python数据预处理中One-Hot编码的方法](Python数据处理/Python数据预处理中One-Hot编码的方法.md)</v>
      </c>
      <c r="E37" s="5" t="str">
        <f t="shared" si="1"/>
        <v>- [Python数据预处理中One-Hot编码的方法](/Python数据处理/Python数据预处理中One-Hot编码的方法.md)</v>
      </c>
      <c r="F37" t="str">
        <f t="shared" si="2"/>
        <v>- [Python数据预处理中One Hot编码的方法](../../Python数据处理/Python数据预处理中One-Hot编码的方法/)</v>
      </c>
    </row>
    <row r="38" spans="1:6" x14ac:dyDescent="0.45">
      <c r="A38" t="s">
        <v>38</v>
      </c>
      <c r="B38" t="s">
        <v>75</v>
      </c>
      <c r="C38" t="s">
        <v>205</v>
      </c>
      <c r="D38" s="5" t="str">
        <f t="shared" si="0"/>
        <v>- [Python通过修改系统注册表，强制设置Excel宏信任级别](Python数据处理/Python通过修改系统注册表，强制设置Excel宏信任级别.md)</v>
      </c>
      <c r="E38" s="5" t="str">
        <f t="shared" si="1"/>
        <v>- [Python通过修改系统注册表，强制设置Excel宏信任级别](/Python数据处理/Python通过修改系统注册表，强制设置Excel宏信任级别.md)</v>
      </c>
      <c r="F38" t="str">
        <f t="shared" si="2"/>
        <v>- [Python通过修改系统注册表，强制设置Excel宏信任级别](../../Python数据处理/Python通过修改系统注册表，强制设置Excel宏信任级别/)</v>
      </c>
    </row>
    <row r="39" spans="1:6" x14ac:dyDescent="0.45">
      <c r="A39" t="s">
        <v>38</v>
      </c>
      <c r="B39" t="s">
        <v>76</v>
      </c>
      <c r="C39" t="s">
        <v>206</v>
      </c>
      <c r="D39" s="5" t="str">
        <f t="shared" si="0"/>
        <v>- [Python用xlwings库处理Excel](Python数据处理/Python用xlwings库处理Excel.md)</v>
      </c>
      <c r="E39" s="5" t="str">
        <f t="shared" si="1"/>
        <v>- [Python用xlwings库处理Excel](/Python数据处理/Python用xlwings库处理Excel.md)</v>
      </c>
      <c r="F39" t="str">
        <f t="shared" si="2"/>
        <v>- [Python用xlwings库处理Excel](../../Python数据处理/Python用xlwings库处理Excel/)</v>
      </c>
    </row>
    <row r="40" spans="1:6" x14ac:dyDescent="0.45">
      <c r="A40" t="s">
        <v>38</v>
      </c>
      <c r="B40" t="s">
        <v>77</v>
      </c>
      <c r="C40" t="s">
        <v>207</v>
      </c>
      <c r="D40" s="5" t="str">
        <f t="shared" si="0"/>
        <v>- [Python中的Lambda匿名函数](Python数据处理/Python中的Lambda匿名函数.md)</v>
      </c>
      <c r="E40" s="5" t="str">
        <f t="shared" si="1"/>
        <v>- [Python中的Lambda匿名函数](/Python数据处理/Python中的Lambda匿名函数.md)</v>
      </c>
      <c r="F40" t="str">
        <f t="shared" si="2"/>
        <v>- [Python中的Lambda匿名函数](../../Python数据处理/Python中的Lambda匿名函数/)</v>
      </c>
    </row>
    <row r="41" spans="1:6" x14ac:dyDescent="0.45">
      <c r="A41" t="s">
        <v>38</v>
      </c>
      <c r="B41" t="s">
        <v>78</v>
      </c>
      <c r="C41" t="s">
        <v>208</v>
      </c>
      <c r="D41" s="5" t="str">
        <f t="shared" si="0"/>
        <v>- [Pythonner还在为了练习Numpy而没有真实数据而烦恼吗？](Python数据处理/Pythonner还在为了练习Numpy而没有真实数据而烦恼吗？.md)</v>
      </c>
      <c r="E41" s="5" t="str">
        <f t="shared" si="1"/>
        <v>- [Pythonner还在为了练习Numpy而没有真实数据而烦恼吗？](/Python数据处理/Pythonner还在为了练习Numpy而没有真实数据而烦恼吗？.md)</v>
      </c>
      <c r="F41" t="str">
        <f t="shared" si="2"/>
        <v>- [Pythonner还在为了练习Numpy而没有真实数据而烦恼吗？](../../Python数据处理/Pythonner还在为了练习Numpy而没有真实数据而烦恼吗？/)</v>
      </c>
    </row>
    <row r="42" spans="1:6" x14ac:dyDescent="0.45">
      <c r="A42" t="s">
        <v>38</v>
      </c>
      <c r="B42" t="s">
        <v>172</v>
      </c>
      <c r="C42" t="s">
        <v>245</v>
      </c>
      <c r="D42" s="5" t="str">
        <f t="shared" si="0"/>
        <v>- [Python-pandas中重排列与列重名](Python数据处理/Python-pandas中重排列与列重名.md)</v>
      </c>
      <c r="E42" s="5" t="str">
        <f t="shared" si="1"/>
        <v>- [Python-pandas中重排列与列重名](/Python数据处理/Python-pandas中重排列与列重名.md)</v>
      </c>
      <c r="F42" t="str">
        <f t="shared" si="2"/>
        <v>- [Python pandas中重排列与列重名](../../Python数据处理/Python-pandas中重排列与列重名/)</v>
      </c>
    </row>
    <row r="43" spans="1:6" x14ac:dyDescent="0.45">
      <c r="A43" t="s">
        <v>38</v>
      </c>
      <c r="B43" t="s">
        <v>165</v>
      </c>
      <c r="C43" t="s">
        <v>246</v>
      </c>
      <c r="D43" s="5" t="str">
        <f t="shared" si="0"/>
        <v>- [Python-Pandas导出Excel时保留URL为纯文本的完美方案](Python数据处理/Python-Pandas导出Excel时保留URL为纯文本的完美方案.md)</v>
      </c>
      <c r="E43" s="5" t="str">
        <f t="shared" si="1"/>
        <v>- [Python-Pandas导出Excel时保留URL为纯文本的完美方案](/Python数据处理/Python-Pandas导出Excel时保留URL为纯文本的完美方案.md)</v>
      </c>
      <c r="F43" t="str">
        <f t="shared" si="2"/>
        <v>- [Python Pandas导出Excel时保留URL为纯文本的完美方案](../../Python数据处理/Python-Pandas导出Excel时保留URL为纯文本的完美方案/)</v>
      </c>
    </row>
    <row r="44" spans="1:6" x14ac:dyDescent="0.45">
      <c r="A44" t="s">
        <v>38</v>
      </c>
      <c r="B44" t="s">
        <v>166</v>
      </c>
      <c r="C44" t="s">
        <v>247</v>
      </c>
      <c r="D44" s="5" t="str">
        <f t="shared" si="0"/>
        <v>- [Python-基于hdfs路径统计hive表存储信息](Python数据处理/Python-基于hdfs路径统计hive表存储信息.md)</v>
      </c>
      <c r="E44" s="5" t="str">
        <f t="shared" si="1"/>
        <v>- [Python-基于hdfs路径统计hive表存储信息](/Python数据处理/Python-基于hdfs路径统计hive表存储信息.md)</v>
      </c>
      <c r="F44" t="str">
        <f t="shared" si="2"/>
        <v>- [Python 基于hdfs路径统计hive表存储信息](../../Python数据处理/Python-基于hdfs路径统计hive表存储信息/)</v>
      </c>
    </row>
    <row r="45" spans="1:6" x14ac:dyDescent="0.45">
      <c r="A45" t="s">
        <v>38</v>
      </c>
      <c r="B45" t="s">
        <v>167</v>
      </c>
      <c r="C45" t="s">
        <v>248</v>
      </c>
      <c r="D45" s="5" t="str">
        <f t="shared" si="0"/>
        <v>- [Python-基于OpenList接口下载夸克网盘资源](Python数据处理/Python-基于OpenList接口下载夸克网盘资源.md)</v>
      </c>
      <c r="E45" s="5" t="str">
        <f t="shared" si="1"/>
        <v>- [Python-基于OpenList接口下载夸克网盘资源](/Python数据处理/Python-基于OpenList接口下载夸克网盘资源.md)</v>
      </c>
      <c r="F45" t="str">
        <f t="shared" si="2"/>
        <v>- [Python 基于OpenList接口下载夸克网盘资源](../../Python数据处理/Python-基于OpenList接口下载夸克网盘资源/)</v>
      </c>
    </row>
    <row r="46" spans="1:6" x14ac:dyDescent="0.45">
      <c r="A46" t="s">
        <v>38</v>
      </c>
      <c r="B46" t="s">
        <v>168</v>
      </c>
      <c r="C46" t="s">
        <v>249</v>
      </c>
      <c r="D46" s="5" t="str">
        <f t="shared" si="0"/>
        <v>- [Python-基于pyhive库操作hive](Python数据处理/Python-基于pyhive库操作hive.md)</v>
      </c>
      <c r="E46" s="5" t="str">
        <f t="shared" si="1"/>
        <v>- [Python-基于pyhive库操作hive](/Python数据处理/Python-基于pyhive库操作hive.md)</v>
      </c>
      <c r="F46" t="str">
        <f t="shared" si="2"/>
        <v>- [Python 基于pyhive库操作hive](../../Python数据处理/Python-基于pyhive库操作hive/)</v>
      </c>
    </row>
    <row r="47" spans="1:6" x14ac:dyDescent="0.45">
      <c r="A47" t="s">
        <v>38</v>
      </c>
      <c r="B47" t="s">
        <v>169</v>
      </c>
      <c r="C47" t="s">
        <v>253</v>
      </c>
      <c r="D47" s="5" t="str">
        <f t="shared" si="0"/>
        <v>- [Python-小知识系列-2](Python数据处理/Python-小知识系列-2.md)</v>
      </c>
      <c r="E47" s="5" t="str">
        <f t="shared" si="1"/>
        <v>- [Python-小知识系列-2](/Python数据处理/Python-小知识系列-2.md)</v>
      </c>
      <c r="F47" t="str">
        <f t="shared" si="2"/>
        <v>- [Python 小知识系列-2](../../Python数据处理/Python-小知识系列-2/)</v>
      </c>
    </row>
    <row r="50" spans="1:6" s="3" customFormat="1" x14ac:dyDescent="0.45">
      <c r="A50" s="2" t="s">
        <v>173</v>
      </c>
      <c r="D50" s="6"/>
      <c r="E50" s="6"/>
    </row>
    <row r="51" spans="1:6" x14ac:dyDescent="0.45">
      <c r="A51" t="s">
        <v>38</v>
      </c>
      <c r="B51" t="s">
        <v>175</v>
      </c>
      <c r="C51" t="s">
        <v>194</v>
      </c>
      <c r="D51" s="5" t="str">
        <f>"- ["&amp;MID(B51,10,LEN(B51)-12)&amp;"]("&amp;A51&amp;"/"&amp;B51&amp;")"</f>
        <v>- [现代Python全栈分布式数据计算：Ray、Daft与Lance的探索](Python数据处理/20260228-现代Python全栈分布式数据计算：Ray、Daft与Lance的探索.md)</v>
      </c>
      <c r="E51" s="5" t="str">
        <f>"- ["&amp;MID(B51,10,LEN(B51)-12)&amp;"](/"&amp;A51&amp;"/"&amp;B51&amp;")"</f>
        <v>- [现代Python全栈分布式数据计算：Ray、Daft与Lance的探索](/Python数据处理/20260228-现代Python全栈分布式数据计算：Ray、Daft与Lance的探索.md)</v>
      </c>
      <c r="F51" t="str">
        <f>"- ["&amp;C51&amp;"](../../"&amp;A51&amp;"/"&amp;LEFT(B51,LEN(B51)-3)&amp;"/)"</f>
        <v>- [对比Excel，利用pandas进行数据分析各种用法](../../Python数据处理/20260228-现代Python全栈分布式数据计算：Ray、Daft与Lance的探索/)</v>
      </c>
    </row>
    <row r="52" spans="1:6" x14ac:dyDescent="0.45">
      <c r="A52" t="s">
        <v>38</v>
      </c>
      <c r="D52" s="5" t="e">
        <f t="shared" ref="D52:D57" si="3">"- ["&amp;MID(B52,10,LEN(B52)-12)&amp;"]("&amp;A52&amp;"/"&amp;B52&amp;")"</f>
        <v>#VALUE!</v>
      </c>
      <c r="E52" s="5" t="e">
        <f t="shared" ref="E52:E57" si="4">"- ["&amp;MID(B52,10,LEN(B52)-12)&amp;"](/"&amp;A52&amp;"/"&amp;B52&amp;")"</f>
        <v>#VALUE!</v>
      </c>
    </row>
    <row r="53" spans="1:6" x14ac:dyDescent="0.45">
      <c r="A53" t="s">
        <v>38</v>
      </c>
      <c r="D53" s="5" t="e">
        <f t="shared" si="3"/>
        <v>#VALUE!</v>
      </c>
      <c r="E53" s="5" t="e">
        <f t="shared" si="4"/>
        <v>#VALUE!</v>
      </c>
    </row>
    <row r="54" spans="1:6" x14ac:dyDescent="0.45">
      <c r="A54" t="s">
        <v>38</v>
      </c>
      <c r="D54" s="5" t="e">
        <f t="shared" si="3"/>
        <v>#VALUE!</v>
      </c>
      <c r="E54" s="5" t="e">
        <f t="shared" si="4"/>
        <v>#VALUE!</v>
      </c>
    </row>
    <row r="55" spans="1:6" x14ac:dyDescent="0.45">
      <c r="A55" t="s">
        <v>38</v>
      </c>
      <c r="D55" s="5" t="e">
        <f t="shared" si="3"/>
        <v>#VALUE!</v>
      </c>
      <c r="E55" s="5" t="e">
        <f t="shared" si="4"/>
        <v>#VALUE!</v>
      </c>
    </row>
    <row r="56" spans="1:6" x14ac:dyDescent="0.45">
      <c r="A56" t="s">
        <v>38</v>
      </c>
      <c r="D56" s="5" t="e">
        <f t="shared" si="3"/>
        <v>#VALUE!</v>
      </c>
      <c r="E56" s="5" t="e">
        <f t="shared" si="4"/>
        <v>#VALUE!</v>
      </c>
    </row>
    <row r="57" spans="1:6" x14ac:dyDescent="0.45">
      <c r="A57" t="s">
        <v>38</v>
      </c>
      <c r="D57" s="5" t="e">
        <f t="shared" si="3"/>
        <v>#VALUE!</v>
      </c>
      <c r="E57" s="5" t="e">
        <f t="shared" si="4"/>
        <v>#VALUE!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workbookViewId="0">
      <selection activeCell="A16" sqref="A16:XFD23"/>
    </sheetView>
  </sheetViews>
  <sheetFormatPr defaultRowHeight="16.5" x14ac:dyDescent="0.45"/>
  <cols>
    <col min="1" max="1" width="14.69140625" customWidth="1"/>
    <col min="2" max="2" width="37.69140625" customWidth="1"/>
    <col min="3" max="3" width="26.15234375" customWidth="1"/>
    <col min="4" max="5" width="17" style="5" customWidth="1"/>
    <col min="6" max="6" width="49.6132812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79</v>
      </c>
      <c r="B2" t="s">
        <v>80</v>
      </c>
      <c r="C2" t="s">
        <v>282</v>
      </c>
      <c r="D2" s="5" t="str">
        <f>"- ["&amp;LEFT(B2,LEN(B2)-3)&amp;"]("&amp;A2&amp;"/"&amp;B2&amp;")"</f>
        <v>- [利用Python-自己动手制作动漫效果图片](Python图像处理/利用Python-自己动手制作动漫效果图片.md)</v>
      </c>
      <c r="E2" s="5" t="str">
        <f>"- ["&amp;SUBSTITUTE(B2,".md","")&amp;"](/"&amp;A2&amp;"/"&amp;B2&amp;")"</f>
        <v>- [利用Python-自己动手制作动漫效果图片](/Python图像处理/利用Python-自己动手制作动漫效果图片.md)</v>
      </c>
      <c r="F2" t="str">
        <f>"- ["&amp;C2&amp;"](../../"&amp;A2&amp;"/"&amp;LEFT(B2,LEN(B2)-3)&amp;"/)"</f>
        <v>- [利用Python 自己动手制作动漫效果图片](../../Python图像处理/利用Python-自己动手制作动漫效果图片/)</v>
      </c>
    </row>
    <row r="3" spans="1:6" x14ac:dyDescent="0.45">
      <c r="A3" t="s">
        <v>79</v>
      </c>
      <c r="B3" t="s">
        <v>81</v>
      </c>
      <c r="C3" t="s">
        <v>209</v>
      </c>
      <c r="D3" s="5" t="str">
        <f t="shared" ref="D3:D13" si="0">"- ["&amp;LEFT(B3,LEN(B3)-3)&amp;"]("&amp;A3&amp;"/"&amp;B3&amp;")"</f>
        <v>- [利用Python对图片进行马赛克处理](Python图像处理/利用Python对图片进行马赛克处理.md)</v>
      </c>
      <c r="E3" s="5" t="str">
        <f t="shared" ref="E3:E13" si="1">"- ["&amp;SUBSTITUTE(B3,".md","")&amp;"](/"&amp;A3&amp;"/"&amp;B3&amp;")"</f>
        <v>- [利用Python对图片进行马赛克处理](/Python图像处理/利用Python对图片进行马赛克处理.md)</v>
      </c>
      <c r="F3" t="str">
        <f t="shared" ref="F3:F13" si="2">"- ["&amp;C3&amp;"](../../"&amp;A3&amp;"/"&amp;LEFT(B3,LEN(B3)-3)&amp;"/)"</f>
        <v>- [利用Python对图片进行马赛克处理](../../Python图像处理/利用Python对图片进行马赛克处理/)</v>
      </c>
    </row>
    <row r="4" spans="1:6" x14ac:dyDescent="0.45">
      <c r="A4" t="s">
        <v>79</v>
      </c>
      <c r="B4" t="s">
        <v>82</v>
      </c>
      <c r="C4" t="s">
        <v>210</v>
      </c>
      <c r="D4" s="5" t="str">
        <f t="shared" si="0"/>
        <v>- [利用Python对图片进行模糊化处理](Python图像处理/利用Python对图片进行模糊化处理.md)</v>
      </c>
      <c r="E4" s="5" t="str">
        <f t="shared" si="1"/>
        <v>- [利用Python对图片进行模糊化处理](/Python图像处理/利用Python对图片进行模糊化处理.md)</v>
      </c>
      <c r="F4" t="str">
        <f t="shared" si="2"/>
        <v>- [利用Python对图片进行模糊化处理](../../Python图像处理/利用Python对图片进行模糊化处理/)</v>
      </c>
    </row>
    <row r="5" spans="1:6" x14ac:dyDescent="0.45">
      <c r="A5" t="s">
        <v>79</v>
      </c>
      <c r="B5" t="s">
        <v>83</v>
      </c>
      <c r="C5" t="s">
        <v>290</v>
      </c>
      <c r="D5" s="5" t="str">
        <f t="shared" si="0"/>
        <v>- [Python---opencv一次读取视频里面多张视频帧](Python图像处理/Python---opencv一次读取视频里面多张视频帧.md)</v>
      </c>
      <c r="E5" s="5" t="str">
        <f t="shared" si="1"/>
        <v>- [Python---opencv一次读取视频里面多张视频帧](/Python图像处理/Python---opencv一次读取视频里面多张视频帧.md)</v>
      </c>
      <c r="F5" t="str">
        <f t="shared" si="2"/>
        <v>- [Python opencv一次读取视频里面多张视频帧](../../Python图像处理/Python---opencv一次读取视频里面多张视频帧/)</v>
      </c>
    </row>
    <row r="6" spans="1:6" x14ac:dyDescent="0.45">
      <c r="A6" t="s">
        <v>79</v>
      </c>
      <c r="B6" t="s">
        <v>84</v>
      </c>
      <c r="C6" t="s">
        <v>283</v>
      </c>
      <c r="D6" s="5" t="str">
        <f t="shared" si="0"/>
        <v>- [Python-人脸检测方法总结](Python图像处理/Python-人脸检测方法总结.md)</v>
      </c>
      <c r="E6" s="5" t="str">
        <f t="shared" si="1"/>
        <v>- [Python-人脸检测方法总结](/Python图像处理/Python-人脸检测方法总结.md)</v>
      </c>
      <c r="F6" t="str">
        <f t="shared" si="2"/>
        <v>- [Python 人脸检测方法总结](../../Python图像处理/Python-人脸检测方法总结/)</v>
      </c>
    </row>
    <row r="7" spans="1:6" x14ac:dyDescent="0.45">
      <c r="A7" t="s">
        <v>79</v>
      </c>
      <c r="B7" t="s">
        <v>85</v>
      </c>
      <c r="C7" t="s">
        <v>289</v>
      </c>
      <c r="D7" s="5" t="str">
        <f t="shared" si="0"/>
        <v>- [Python基于opencv-“三维”旋转图片，解决日常小问题](Python图像处理/Python基于opencv-“三维”旋转图片，解决日常小问题.md)</v>
      </c>
      <c r="E7" s="5" t="str">
        <f t="shared" si="1"/>
        <v>- [Python基于opencv-“三维”旋转图片，解决日常小问题](/Python图像处理/Python基于opencv-“三维”旋转图片，解决日常小问题.md)</v>
      </c>
      <c r="F7" t="str">
        <f t="shared" si="2"/>
        <v>- [Python基于 opencv “三维”旋转图片，解决日常小问题](../../Python图像处理/Python基于opencv-“三维”旋转图片，解决日常小问题/)</v>
      </c>
    </row>
    <row r="8" spans="1:6" x14ac:dyDescent="0.45">
      <c r="A8" t="s">
        <v>79</v>
      </c>
      <c r="B8" t="s">
        <v>134</v>
      </c>
      <c r="C8" t="s">
        <v>284</v>
      </c>
      <c r="D8" s="5" t="str">
        <f t="shared" si="0"/>
        <v>- [Python-利用4行代码实现图片灰度化](Python图像处理/Python-利用4行代码实现图片灰度化.md)</v>
      </c>
      <c r="E8" s="5" t="str">
        <f t="shared" si="1"/>
        <v>- [Python-利用4行代码实现图片灰度化](/Python图像处理/Python-利用4行代码实现图片灰度化.md)</v>
      </c>
      <c r="F8" t="str">
        <f t="shared" si="2"/>
        <v>- [Python 利用4行代码实现图片灰度化](../../Python图像处理/Python-利用4行代码实现图片灰度化/)</v>
      </c>
    </row>
    <row r="9" spans="1:6" x14ac:dyDescent="0.45">
      <c r="A9" t="s">
        <v>79</v>
      </c>
      <c r="B9" t="s">
        <v>135</v>
      </c>
      <c r="C9" t="s">
        <v>285</v>
      </c>
      <c r="D9" s="5" t="str">
        <f t="shared" si="0"/>
        <v>- [Python-利用聚类算法对图片进行颜色压缩](Python图像处理/Python-利用聚类算法对图片进行颜色压缩.md)</v>
      </c>
      <c r="E9" s="5" t="str">
        <f t="shared" si="1"/>
        <v>- [Python-利用聚类算法对图片进行颜色压缩](/Python图像处理/Python-利用聚类算法对图片进行颜色压缩.md)</v>
      </c>
      <c r="F9" t="str">
        <f t="shared" si="2"/>
        <v>- [Python 利用聚类算法对图片进行颜色压缩](../../Python图像处理/Python-利用聚类算法对图片进行颜色压缩/)</v>
      </c>
    </row>
    <row r="10" spans="1:6" x14ac:dyDescent="0.45">
      <c r="A10" t="s">
        <v>79</v>
      </c>
      <c r="B10" t="s">
        <v>136</v>
      </c>
      <c r="C10" t="s">
        <v>286</v>
      </c>
      <c r="D10" s="5" t="str">
        <f t="shared" si="0"/>
        <v>- [Python-微信头像添加国旗](Python图像处理/Python-微信头像添加国旗.md)</v>
      </c>
      <c r="E10" s="5" t="str">
        <f t="shared" si="1"/>
        <v>- [Python-微信头像添加国旗](/Python图像处理/Python-微信头像添加国旗.md)</v>
      </c>
      <c r="F10" t="str">
        <f t="shared" si="2"/>
        <v>- [Python 微信头像添加国旗](../../Python图像处理/Python-微信头像添加国旗/)</v>
      </c>
    </row>
    <row r="11" spans="1:6" x14ac:dyDescent="0.45">
      <c r="A11" t="s">
        <v>79</v>
      </c>
      <c r="B11" t="s">
        <v>137</v>
      </c>
      <c r="C11" t="s">
        <v>287</v>
      </c>
      <c r="D11" s="5" t="str">
        <f t="shared" si="0"/>
        <v>- [Python-一个在本地给图片添加水印的小工具](Python图像处理/Python-一个在本地给图片添加水印的小工具.md)</v>
      </c>
      <c r="E11" s="5" t="str">
        <f t="shared" si="1"/>
        <v>- [Python-一个在本地给图片添加水印的小工具](/Python图像处理/Python-一个在本地给图片添加水印的小工具.md)</v>
      </c>
      <c r="F11" t="str">
        <f t="shared" si="2"/>
        <v>- [Python 一个在本地给图片添加水印的小工具](../../Python图像处理/Python-一个在本地给图片添加水印的小工具/)</v>
      </c>
    </row>
    <row r="12" spans="1:6" x14ac:dyDescent="0.45">
      <c r="A12" t="s">
        <v>79</v>
      </c>
      <c r="B12" t="s">
        <v>138</v>
      </c>
      <c r="C12" t="s">
        <v>211</v>
      </c>
      <c r="D12" s="5" t="str">
        <f t="shared" si="0"/>
        <v>- [利用Python生成手绘效果的图片](Python图像处理/利用Python生成手绘效果的图片.md)</v>
      </c>
      <c r="E12" s="5" t="str">
        <f t="shared" si="1"/>
        <v>- [利用Python生成手绘效果的图片](/Python图像处理/利用Python生成手绘效果的图片.md)</v>
      </c>
      <c r="F12" t="str">
        <f t="shared" si="2"/>
        <v>- [利用Python生成手绘效果的图片](../../Python图像处理/利用Python生成手绘效果的图片/)</v>
      </c>
    </row>
    <row r="13" spans="1:6" x14ac:dyDescent="0.45">
      <c r="A13" t="s">
        <v>79</v>
      </c>
      <c r="B13" t="s">
        <v>155</v>
      </c>
      <c r="C13" t="s">
        <v>212</v>
      </c>
      <c r="D13" s="5" t="str">
        <f t="shared" si="0"/>
        <v>- [利用Python实现二维码自由](Python图像处理/利用Python实现二维码自由.md)</v>
      </c>
      <c r="E13" s="5" t="str">
        <f t="shared" si="1"/>
        <v>- [利用Python实现二维码自由](/Python图像处理/利用Python实现二维码自由.md)</v>
      </c>
      <c r="F13" t="str">
        <f t="shared" si="2"/>
        <v>- [利用Python实现二维码自由](../../Python图像处理/利用Python实现二维码自由/)</v>
      </c>
    </row>
    <row r="16" spans="1:6" s="3" customFormat="1" x14ac:dyDescent="0.45">
      <c r="A16" s="2" t="s">
        <v>173</v>
      </c>
      <c r="D16" s="6"/>
      <c r="E16" s="6"/>
    </row>
    <row r="17" spans="1:6" x14ac:dyDescent="0.45">
      <c r="A17" t="s">
        <v>79</v>
      </c>
      <c r="B17" t="s">
        <v>182</v>
      </c>
      <c r="C17" t="s">
        <v>288</v>
      </c>
      <c r="D17" s="5" t="str">
        <f>"- ["&amp;MID(B17,10,LEN(B17)-12)&amp;"]("&amp;A17&amp;"/"&amp;B17&amp;")"</f>
        <v>- [Python-本地给图片添加水印的GUI小工具](Python图像处理/20260430-Python-本地给图片添加水印的GUI小工具.md)</v>
      </c>
      <c r="E17" s="5" t="str">
        <f>"- ["&amp;MID(B17,10,LEN(B17)-12)&amp;"](/"&amp;A17&amp;"/"&amp;B17&amp;")"</f>
        <v>- [Python-本地给图片添加水印的GUI小工具](/Python图像处理/20260430-Python-本地给图片添加水印的GUI小工具.md)</v>
      </c>
      <c r="F17" t="str">
        <f>"- ["&amp;C17&amp;"](../../"&amp;A17&amp;"/"&amp;LEFT(B17,LEN(B17)-3)&amp;"/)"</f>
        <v>- [Python 本地给图片添加水印的GUI小工具](../../Python图像处理/20260430-Python-本地给图片添加水印的GUI小工具/)</v>
      </c>
    </row>
    <row r="18" spans="1:6" x14ac:dyDescent="0.45">
      <c r="A18" t="s">
        <v>79</v>
      </c>
      <c r="D18" s="5" t="e">
        <f t="shared" ref="D18:D23" si="3">"- ["&amp;MID(B18,10,LEN(B18)-12)&amp;"]("&amp;A18&amp;"/"&amp;B18&amp;")"</f>
        <v>#VALUE!</v>
      </c>
      <c r="E18" s="5" t="e">
        <f t="shared" ref="E18:E23" si="4">"- ["&amp;MID(B18,10,LEN(B18)-12)&amp;"](/"&amp;A18&amp;"/"&amp;B18&amp;")"</f>
        <v>#VALUE!</v>
      </c>
    </row>
    <row r="19" spans="1:6" x14ac:dyDescent="0.45">
      <c r="A19" t="s">
        <v>79</v>
      </c>
      <c r="D19" s="5" t="e">
        <f t="shared" si="3"/>
        <v>#VALUE!</v>
      </c>
      <c r="E19" s="5" t="e">
        <f t="shared" si="4"/>
        <v>#VALUE!</v>
      </c>
    </row>
    <row r="20" spans="1:6" x14ac:dyDescent="0.45">
      <c r="A20" t="s">
        <v>79</v>
      </c>
      <c r="D20" s="5" t="e">
        <f t="shared" si="3"/>
        <v>#VALUE!</v>
      </c>
      <c r="E20" s="5" t="e">
        <f t="shared" si="4"/>
        <v>#VALUE!</v>
      </c>
    </row>
    <row r="21" spans="1:6" x14ac:dyDescent="0.45">
      <c r="A21" t="s">
        <v>79</v>
      </c>
      <c r="D21" s="5" t="e">
        <f t="shared" si="3"/>
        <v>#VALUE!</v>
      </c>
      <c r="E21" s="5" t="e">
        <f t="shared" si="4"/>
        <v>#VALUE!</v>
      </c>
    </row>
    <row r="22" spans="1:6" x14ac:dyDescent="0.45">
      <c r="A22" t="s">
        <v>79</v>
      </c>
      <c r="D22" s="5" t="e">
        <f t="shared" si="3"/>
        <v>#VALUE!</v>
      </c>
      <c r="E22" s="5" t="e">
        <f t="shared" si="4"/>
        <v>#VALUE!</v>
      </c>
    </row>
    <row r="23" spans="1:6" x14ac:dyDescent="0.45">
      <c r="A23" t="s">
        <v>79</v>
      </c>
      <c r="D23" s="5" t="e">
        <f t="shared" si="3"/>
        <v>#VALUE!</v>
      </c>
      <c r="E23" s="5" t="e">
        <f t="shared" si="4"/>
        <v>#VALUE!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"/>
  <sheetViews>
    <sheetView workbookViewId="0">
      <selection activeCell="F2" sqref="F2"/>
    </sheetView>
  </sheetViews>
  <sheetFormatPr defaultRowHeight="16.5" x14ac:dyDescent="0.45"/>
  <cols>
    <col min="1" max="1" width="14.69140625" customWidth="1"/>
    <col min="2" max="2" width="41.3828125" customWidth="1"/>
    <col min="3" max="3" width="16.765625" customWidth="1"/>
    <col min="4" max="5" width="10.69140625" style="5" customWidth="1"/>
    <col min="6" max="6" width="45.2304687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86</v>
      </c>
      <c r="B2" t="s">
        <v>87</v>
      </c>
      <c r="C2" t="s">
        <v>291</v>
      </c>
      <c r="D2" s="5" t="str">
        <f>"- ["&amp;LEFT(B2,LEN(B2)-3)&amp;"]("&amp;A2&amp;"/"&amp;B2&amp;")"</f>
        <v>- [Python-利用协程采集想看的《人世间》下载地址](数据采集/Python-利用协程采集想看的《人世间》下载地址.md)</v>
      </c>
      <c r="E2" s="5" t="str">
        <f>"- ["&amp;SUBSTITUTE(B2,".md","")&amp;"](/"&amp;A2&amp;"/"&amp;B2&amp;")"</f>
        <v>- [Python-利用协程采集想看的《人世间》下载地址](/数据采集/Python-利用协程采集想看的《人世间》下载地址.md)</v>
      </c>
      <c r="F2" t="str">
        <f t="shared" ref="F2:F4" si="0">"- ["&amp;C2&amp;"](../../"&amp;A2&amp;"/"&amp;LEFT(B2,LEN(B2)-3)&amp;"/)"</f>
        <v>- [Python 利用协程采集想看的《人世间》下载地址](../../数据采集/Python-利用协程采集想看的《人世间》下载地址/)</v>
      </c>
    </row>
    <row r="3" spans="1:6" x14ac:dyDescent="0.45">
      <c r="A3" t="s">
        <v>86</v>
      </c>
      <c r="B3" t="s">
        <v>88</v>
      </c>
      <c r="C3" t="s">
        <v>292</v>
      </c>
      <c r="D3" s="5" t="str">
        <f t="shared" ref="D3:D4" si="1">"- ["&amp;LEFT(B3,LEN(B3)-3)&amp;"]("&amp;A3&amp;"/"&amp;B3&amp;")"</f>
        <v>- [Python-中一个好用的股票开源库akshare](数据采集/Python-中一个好用的股票开源库akshare.md)</v>
      </c>
      <c r="E3" s="5" t="str">
        <f t="shared" ref="E3:E4" si="2">"- ["&amp;SUBSTITUTE(B3,".md","")&amp;"](/"&amp;A3&amp;"/"&amp;B3&amp;")"</f>
        <v>- [Python-中一个好用的股票开源库akshare](/数据采集/Python-中一个好用的股票开源库akshare.md)</v>
      </c>
      <c r="F3" t="str">
        <f t="shared" si="0"/>
        <v>- [Python中一个好用的股票开源库akshare](../../数据采集/Python-中一个好用的股票开源库akshare/)</v>
      </c>
    </row>
    <row r="4" spans="1:6" x14ac:dyDescent="0.45">
      <c r="A4" t="s">
        <v>86</v>
      </c>
      <c r="B4" t="s">
        <v>143</v>
      </c>
      <c r="C4" t="s">
        <v>293</v>
      </c>
      <c r="D4" s="5" t="str">
        <f t="shared" si="1"/>
        <v>- [Python-利用协程整合IPTV直播源](数据采集/Python-利用协程整合IPTV直播源.md)</v>
      </c>
      <c r="E4" s="5" t="str">
        <f t="shared" si="2"/>
        <v>- [Python-利用协程整合IPTV直播源](/数据采集/Python-利用协程整合IPTV直播源.md)</v>
      </c>
      <c r="F4" t="str">
        <f t="shared" si="0"/>
        <v>- [Python 利用协程整合IPTV直播源](../../数据采集/Python-利用协程整合IPTV直播源/)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activeCell="C6" sqref="C6"/>
    </sheetView>
  </sheetViews>
  <sheetFormatPr defaultRowHeight="16.5" x14ac:dyDescent="0.45"/>
  <cols>
    <col min="1" max="1" width="14.69140625" customWidth="1"/>
    <col min="2" max="3" width="26" customWidth="1"/>
    <col min="4" max="5" width="16.53515625" style="5" customWidth="1"/>
    <col min="6" max="6" width="58.5351562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89</v>
      </c>
      <c r="B2" t="s">
        <v>90</v>
      </c>
      <c r="C2" t="s">
        <v>312</v>
      </c>
      <c r="D2" s="5" t="str">
        <f>"- ["&amp;LEFT(B2,LEN(B2)-3)&amp;"]("&amp;A2&amp;"/"&amp;B2&amp;")"</f>
        <v>- [《精益数据分析》读书分享-----增长引擎说](数据分析与挖掘/《精益数据分析》读书分享-----增长引擎说.md)</v>
      </c>
      <c r="E2" s="5" t="str">
        <f>"- ["&amp;SUBSTITUTE(B2,".md","")&amp;"](/"&amp;A2&amp;"/"&amp;B2&amp;")"</f>
        <v>- [《精益数据分析》读书分享-----增长引擎说](/数据分析与挖掘/《精益数据分析》读书分享-----增长引擎说.md)</v>
      </c>
      <c r="F2" t="str">
        <f t="shared" ref="F2:F10" si="0">"- ["&amp;C2&amp;"](../../"&amp;A2&amp;"/"&amp;LEFT(B2,LEN(B2)-3)&amp;"/)"</f>
        <v>- [《精益数据分析》读书分享：增长引擎说](../../数据分析与挖掘/《精益数据分析》读书分享-----增长引擎说/)</v>
      </c>
    </row>
    <row r="3" spans="1:6" x14ac:dyDescent="0.45">
      <c r="A3" t="s">
        <v>89</v>
      </c>
      <c r="B3" t="s">
        <v>91</v>
      </c>
      <c r="C3" t="s">
        <v>213</v>
      </c>
      <c r="D3" s="5" t="str">
        <f t="shared" ref="D3:D10" si="1">"- ["&amp;LEFT(B3,LEN(B3)-3)&amp;"]("&amp;A3&amp;"/"&amp;B3&amp;")"</f>
        <v>- [不同岗位的数据分析人员，可能使用不同的分析方法](数据分析与挖掘/不同岗位的数据分析人员，可能使用不同的分析方法.md)</v>
      </c>
      <c r="E3" s="5" t="str">
        <f t="shared" ref="E3:E10" si="2">"- ["&amp;SUBSTITUTE(B3,".md","")&amp;"](/"&amp;A3&amp;"/"&amp;B3&amp;")"</f>
        <v>- [不同岗位的数据分析人员，可能使用不同的分析方法](/数据分析与挖掘/不同岗位的数据分析人员，可能使用不同的分析方法.md)</v>
      </c>
      <c r="F3" t="str">
        <f t="shared" si="0"/>
        <v>- [不同岗位的数据分析人员，可能使用不同的分析方法](../../数据分析与挖掘/不同岗位的数据分析人员，可能使用不同的分析方法/)</v>
      </c>
    </row>
    <row r="4" spans="1:6" x14ac:dyDescent="0.45">
      <c r="A4" t="s">
        <v>89</v>
      </c>
      <c r="B4" t="s">
        <v>92</v>
      </c>
      <c r="C4" t="s">
        <v>214</v>
      </c>
      <c r="D4" s="5" t="str">
        <f t="shared" si="1"/>
        <v>- [传统统计分析在Python中的使用](数据分析与挖掘/传统统计分析在Python中的使用.md)</v>
      </c>
      <c r="E4" s="5" t="str">
        <f t="shared" si="2"/>
        <v>- [传统统计分析在Python中的使用](/数据分析与挖掘/传统统计分析在Python中的使用.md)</v>
      </c>
      <c r="F4" t="str">
        <f t="shared" si="0"/>
        <v>- [传统统计分析在Python中的使用](../../数据分析与挖掘/传统统计分析在Python中的使用/)</v>
      </c>
    </row>
    <row r="5" spans="1:6" x14ac:dyDescent="0.45">
      <c r="A5" t="s">
        <v>89</v>
      </c>
      <c r="B5" t="s">
        <v>93</v>
      </c>
      <c r="C5" t="s">
        <v>309</v>
      </c>
      <c r="D5" s="5" t="str">
        <f t="shared" si="1"/>
        <v>- [机器学习-决策树原理-Python](数据分析与挖掘/机器学习-决策树原理-Python.md)</v>
      </c>
      <c r="E5" s="5" t="str">
        <f t="shared" si="2"/>
        <v>- [机器学习-决策树原理-Python](/数据分析与挖掘/机器学习-决策树原理-Python.md)</v>
      </c>
      <c r="F5" t="str">
        <f t="shared" si="0"/>
        <v>- [机器学习 决策树原理 Python](../../数据分析与挖掘/机器学习-决策树原理-Python/)</v>
      </c>
    </row>
    <row r="6" spans="1:6" x14ac:dyDescent="0.45">
      <c r="A6" t="s">
        <v>89</v>
      </c>
      <c r="B6" t="s">
        <v>94</v>
      </c>
      <c r="C6" t="s">
        <v>215</v>
      </c>
      <c r="D6" s="5" t="str">
        <f t="shared" si="1"/>
        <v>- [机器学习算法总结](数据分析与挖掘/机器学习算法总结.md)</v>
      </c>
      <c r="E6" s="5" t="str">
        <f t="shared" si="2"/>
        <v>- [机器学习算法总结](/数据分析与挖掘/机器学习算法总结.md)</v>
      </c>
      <c r="F6" t="str">
        <f t="shared" si="0"/>
        <v>- [机器学习算法总结](../../数据分析与挖掘/机器学习算法总结/)</v>
      </c>
    </row>
    <row r="7" spans="1:6" x14ac:dyDescent="0.45">
      <c r="A7" t="s">
        <v>89</v>
      </c>
      <c r="B7" t="s">
        <v>95</v>
      </c>
      <c r="C7" t="s">
        <v>313</v>
      </c>
      <c r="D7" s="5" t="str">
        <f t="shared" si="1"/>
        <v>- [机器学习之sklearn-feature_selection-chi2基于卡方，特征筛选详解](数据分析与挖掘/机器学习之sklearn-feature_selection-chi2基于卡方，特征筛选详解.md)</v>
      </c>
      <c r="E7" s="5" t="str">
        <f t="shared" si="2"/>
        <v>- [机器学习之sklearn-feature_selection-chi2基于卡方，特征筛选详解](/数据分析与挖掘/机器学习之sklearn-feature_selection-chi2基于卡方，特征筛选详解.md)</v>
      </c>
      <c r="F7" t="str">
        <f t="shared" si="0"/>
        <v>- [机器学习之 sklearn.feature_selection.chi2 基于卡方，特征筛选详解](../../数据分析与挖掘/机器学习之sklearn-feature_selection-chi2基于卡方，特征筛选详解/)</v>
      </c>
    </row>
    <row r="8" spans="1:6" x14ac:dyDescent="0.45">
      <c r="A8" t="s">
        <v>89</v>
      </c>
      <c r="B8" t="s">
        <v>96</v>
      </c>
      <c r="C8" t="s">
        <v>310</v>
      </c>
      <c r="D8" s="5" t="str">
        <f t="shared" si="1"/>
        <v>- [利用熵值法确定指标权重---原理及Python实现](数据分析与挖掘/利用熵值法确定指标权重---原理及Python实现.md)</v>
      </c>
      <c r="E8" s="5" t="str">
        <f t="shared" si="2"/>
        <v>- [利用熵值法确定指标权重---原理及Python实现](/数据分析与挖掘/利用熵值法确定指标权重---原理及Python实现.md)</v>
      </c>
      <c r="F8" t="str">
        <f t="shared" si="0"/>
        <v>- [利用熵值法确定指标权重   原理及Python实现](../../数据分析与挖掘/利用熵值法确定指标权重---原理及Python实现/)</v>
      </c>
    </row>
    <row r="9" spans="1:6" x14ac:dyDescent="0.45">
      <c r="A9" t="s">
        <v>89</v>
      </c>
      <c r="B9" t="s">
        <v>97</v>
      </c>
      <c r="C9" t="s">
        <v>311</v>
      </c>
      <c r="D9" s="5" t="str">
        <f t="shared" si="1"/>
        <v>- [Python-利用数据分布直方图来确定合适的阈值](数据分析与挖掘/Python-利用数据分布直方图来确定合适的阈值.md)</v>
      </c>
      <c r="E9" s="5" t="str">
        <f t="shared" si="2"/>
        <v>- [Python-利用数据分布直方图来确定合适的阈值](/数据分析与挖掘/Python-利用数据分布直方图来确定合适的阈值.md)</v>
      </c>
      <c r="F9" t="str">
        <f t="shared" si="0"/>
        <v>- [Python 利用数据分布直方图来确定合适的阈值](../../数据分析与挖掘/Python-利用数据分布直方图来确定合适的阈值/)</v>
      </c>
    </row>
    <row r="10" spans="1:6" x14ac:dyDescent="0.45">
      <c r="A10" t="s">
        <v>89</v>
      </c>
      <c r="B10" t="s">
        <v>98</v>
      </c>
      <c r="C10" t="s">
        <v>314</v>
      </c>
      <c r="D10" s="5" t="str">
        <f t="shared" si="1"/>
        <v>- [Python-如何确定K-Means聚类的簇数](数据分析与挖掘/Python-如何确定K-Means聚类的簇数.md)</v>
      </c>
      <c r="E10" s="5" t="str">
        <f t="shared" si="2"/>
        <v>- [Python-如何确定K-Means聚类的簇数](/数据分析与挖掘/Python-如何确定K-Means聚类的簇数.md)</v>
      </c>
      <c r="F10" t="str">
        <f t="shared" si="0"/>
        <v>- [Python 如何确定K-Means聚类的簇数](../../数据分析与挖掘/Python-如何确定K-Means聚类的簇数/)</v>
      </c>
    </row>
    <row r="13" spans="1:6" s="3" customFormat="1" x14ac:dyDescent="0.45">
      <c r="A13" s="2" t="s">
        <v>173</v>
      </c>
      <c r="D13" s="6"/>
      <c r="E13" s="6"/>
    </row>
    <row r="14" spans="1:6" x14ac:dyDescent="0.45">
      <c r="A14" t="s">
        <v>89</v>
      </c>
      <c r="B14" t="s">
        <v>319</v>
      </c>
      <c r="C14" t="s">
        <v>320</v>
      </c>
      <c r="D14" s="5" t="str">
        <f>"- ["&amp;MID(B14,10,LEN(B14)-12)&amp;"]("&amp;A14&amp;"/"&amp;B14&amp;")"</f>
        <v>- [Python揭秘：北京2026新能源家庭指标，花落谁家？](数据分析与挖掘/20260605-Python揭秘：北京2026新能源家庭指标，花落谁家？.md)</v>
      </c>
      <c r="E14" s="5" t="str">
        <f>"- ["&amp;MID(B14,10,LEN(B14)-12)&amp;"](/"&amp;A14&amp;"/"&amp;B14&amp;")"</f>
        <v>- [Python揭秘：北京2026新能源家庭指标，花落谁家？](/数据分析与挖掘/20260605-Python揭秘：北京2026新能源家庭指标，花落谁家？.md)</v>
      </c>
      <c r="F14" t="str">
        <f>"- ["&amp;C14&amp;"](../../"&amp;A14&amp;"/"&amp;LEFT(B14,LEN(B14)-3)&amp;"/)"</f>
        <v>- [Python揭秘：北京2026新能源家庭指标，花落谁家？](../../数据分析与挖掘/20260605-Python揭秘：北京2026新能源家庭指标，花落谁家？/)</v>
      </c>
    </row>
    <row r="15" spans="1:6" x14ac:dyDescent="0.45">
      <c r="A15" t="s">
        <v>89</v>
      </c>
      <c r="B15" t="s">
        <v>325</v>
      </c>
      <c r="C15" t="s">
        <v>326</v>
      </c>
      <c r="D15" s="5" t="str">
        <f t="shared" ref="D15:D20" si="3">"- ["&amp;MID(B15,10,LEN(B15)-12)&amp;"]("&amp;A15&amp;"/"&amp;B15&amp;")"</f>
        <v>- [别被准确率骗了！深入解读 Informedness 与 Markedness 两大稳健评估指标](数据分析与挖掘/20260727-别被准确率骗了！深入解读 Informedness 与 Markedness 两大稳健评估指标.md)</v>
      </c>
      <c r="E15" s="5" t="str">
        <f t="shared" ref="E15:E20" si="4">"- ["&amp;MID(B15,10,LEN(B15)-12)&amp;"](/"&amp;A15&amp;"/"&amp;B15&amp;")"</f>
        <v>- [别被准确率骗了！深入解读 Informedness 与 Markedness 两大稳健评估指标](/数据分析与挖掘/20260727-别被准确率骗了！深入解读 Informedness 与 Markedness 两大稳健评估指标.md)</v>
      </c>
      <c r="F15" t="str">
        <f t="shared" ref="F15:F20" si="5">"- ["&amp;C15&amp;"](../../"&amp;A15&amp;"/"&amp;LEFT(B15,LEN(B15)-3)&amp;"/)"</f>
        <v>- [别被准确率骗了！深入解读 Informedness 与 Markedness 两大稳健评估指标](../../数据分析与挖掘/20260727-别被准确率骗了！深入解读 Informedness 与 Markedness 两大稳健评估指标/)</v>
      </c>
    </row>
    <row r="16" spans="1:6" x14ac:dyDescent="0.45">
      <c r="A16" t="s">
        <v>89</v>
      </c>
      <c r="D16" s="5" t="e">
        <f t="shared" si="3"/>
        <v>#VALUE!</v>
      </c>
      <c r="E16" s="5" t="e">
        <f t="shared" si="4"/>
        <v>#VALUE!</v>
      </c>
      <c r="F16" t="e">
        <f t="shared" si="5"/>
        <v>#VALUE!</v>
      </c>
    </row>
    <row r="17" spans="1:6" x14ac:dyDescent="0.45">
      <c r="A17" t="s">
        <v>89</v>
      </c>
      <c r="D17" s="5" t="e">
        <f t="shared" si="3"/>
        <v>#VALUE!</v>
      </c>
      <c r="E17" s="5" t="e">
        <f t="shared" si="4"/>
        <v>#VALUE!</v>
      </c>
      <c r="F17" t="e">
        <f t="shared" si="5"/>
        <v>#VALUE!</v>
      </c>
    </row>
    <row r="18" spans="1:6" x14ac:dyDescent="0.45">
      <c r="A18" t="s">
        <v>89</v>
      </c>
      <c r="D18" s="5" t="e">
        <f t="shared" si="3"/>
        <v>#VALUE!</v>
      </c>
      <c r="E18" s="5" t="e">
        <f t="shared" si="4"/>
        <v>#VALUE!</v>
      </c>
      <c r="F18" t="e">
        <f t="shared" si="5"/>
        <v>#VALUE!</v>
      </c>
    </row>
    <row r="19" spans="1:6" x14ac:dyDescent="0.45">
      <c r="A19" t="s">
        <v>89</v>
      </c>
      <c r="D19" s="5" t="e">
        <f t="shared" si="3"/>
        <v>#VALUE!</v>
      </c>
      <c r="E19" s="5" t="e">
        <f t="shared" si="4"/>
        <v>#VALUE!</v>
      </c>
      <c r="F19" t="e">
        <f t="shared" si="5"/>
        <v>#VALUE!</v>
      </c>
    </row>
    <row r="20" spans="1:6" x14ac:dyDescent="0.45">
      <c r="A20" t="s">
        <v>89</v>
      </c>
      <c r="D20" s="5" t="e">
        <f t="shared" si="3"/>
        <v>#VALUE!</v>
      </c>
      <c r="E20" s="5" t="e">
        <f t="shared" si="4"/>
        <v>#VALUE!</v>
      </c>
      <c r="F20" t="e">
        <f t="shared" si="5"/>
        <v>#VALUE!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"/>
  <sheetViews>
    <sheetView workbookViewId="0">
      <selection activeCell="F5" sqref="F5"/>
    </sheetView>
  </sheetViews>
  <sheetFormatPr defaultRowHeight="16.5" x14ac:dyDescent="0.45"/>
  <cols>
    <col min="1" max="1" width="14.69140625" customWidth="1"/>
    <col min="2" max="2" width="31.921875" customWidth="1"/>
    <col min="3" max="3" width="14.765625" customWidth="1"/>
    <col min="4" max="5" width="16.3828125" style="5" customWidth="1"/>
    <col min="6" max="6" width="51.5351562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99</v>
      </c>
      <c r="B2" t="s">
        <v>100</v>
      </c>
      <c r="C2" t="s">
        <v>216</v>
      </c>
      <c r="D2" s="5" t="str">
        <f>"- ["&amp;LEFT(B2,LEN(B2)-3)&amp;"]("&amp;A2&amp;"/"&amp;B2&amp;")"</f>
        <v>- [利用Python+PyEcharts画出《人民日报》各国疫情图](数据可视化/利用Python+PyEcharts画出《人民日报》各国疫情图.md)</v>
      </c>
      <c r="E2" s="5" t="str">
        <f>"- ["&amp;SUBSTITUTE(B2,".md","")&amp;"](/"&amp;A2&amp;"/"&amp;B2&amp;")"</f>
        <v>- [利用Python+PyEcharts画出《人民日报》各国疫情图](/数据可视化/利用Python+PyEcharts画出《人民日报》各国疫情图.md)</v>
      </c>
      <c r="F2" t="str">
        <f>"- ["&amp;C2&amp;"](../../"&amp;A2&amp;"/"&amp;LEFT(B2,LEN(B2)-3)&amp;"/)"</f>
        <v>- [利用Python+PyEcharts画出《人民日报》各国疫情图](../../数据可视化/利用Python+PyEcharts画出《人民日报》各国疫情图/)</v>
      </c>
    </row>
    <row r="3" spans="1:6" x14ac:dyDescent="0.45">
      <c r="A3" t="s">
        <v>99</v>
      </c>
      <c r="B3" t="s">
        <v>101</v>
      </c>
      <c r="C3" t="s">
        <v>217</v>
      </c>
      <c r="D3" s="5" t="str">
        <f t="shared" ref="D3:D10" si="0">"- ["&amp;LEFT(B3,LEN(B3)-3)&amp;"]("&amp;A3&amp;"/"&amp;B3&amp;")"</f>
        <v>- [利用Python画出《人民日报》各国疫情图——南丁格尔玫瑰图](数据可视化/利用Python画出《人民日报》各国疫情图——南丁格尔玫瑰图.md)</v>
      </c>
      <c r="E3" s="5" t="str">
        <f t="shared" ref="E3:E10" si="1">"- ["&amp;SUBSTITUTE(B3,".md","")&amp;"](/"&amp;A3&amp;"/"&amp;B3&amp;")"</f>
        <v>- [利用Python画出《人民日报》各国疫情图——南丁格尔玫瑰图](/数据可视化/利用Python画出《人民日报》各国疫情图——南丁格尔玫瑰图.md)</v>
      </c>
      <c r="F3" t="str">
        <f t="shared" ref="F3:F10" si="2">"- ["&amp;C3&amp;"](../../"&amp;A3&amp;"/"&amp;LEFT(B3,LEN(B3)-3)&amp;"/)"</f>
        <v>- [利用Python画出《人民日报》各国疫情图——南丁格尔玫瑰图](../../数据可视化/利用Python画出《人民日报》各国疫情图——南丁格尔玫瑰图/)</v>
      </c>
    </row>
    <row r="4" spans="1:6" x14ac:dyDescent="0.45">
      <c r="A4" t="s">
        <v>99</v>
      </c>
      <c r="B4" t="s">
        <v>102</v>
      </c>
      <c r="C4" t="s">
        <v>302</v>
      </c>
      <c r="D4" s="5" t="str">
        <f t="shared" si="0"/>
        <v>- [罗兰贝格图--Python等高线图（平滑处理）](数据可视化/罗兰贝格图--Python等高线图（平滑处理）.md)</v>
      </c>
      <c r="E4" s="5" t="str">
        <f t="shared" si="1"/>
        <v>- [罗兰贝格图--Python等高线图（平滑处理）](/数据可视化/罗兰贝格图--Python等高线图（平滑处理）.md)</v>
      </c>
      <c r="F4" t="str">
        <f t="shared" si="2"/>
        <v>- [罗兰贝格图  Python等高线图（平滑处理）](../../数据可视化/罗兰贝格图--Python等高线图（平滑处理）/)</v>
      </c>
    </row>
    <row r="5" spans="1:6" x14ac:dyDescent="0.45">
      <c r="A5" t="s">
        <v>99</v>
      </c>
      <c r="B5" t="s">
        <v>103</v>
      </c>
      <c r="C5" t="s">
        <v>303</v>
      </c>
      <c r="D5" s="5" t="str">
        <f t="shared" si="0"/>
        <v>- [Matplotlib-自定义函数实现左边柱形图，右边饼图](数据可视化/Matplotlib-自定义函数实现左边柱形图，右边饼图.md)</v>
      </c>
      <c r="E5" s="5" t="str">
        <f t="shared" si="1"/>
        <v>- [Matplotlib-自定义函数实现左边柱形图，右边饼图](/数据可视化/Matplotlib-自定义函数实现左边柱形图，右边饼图.md)</v>
      </c>
      <c r="F5" t="str">
        <f t="shared" si="2"/>
        <v>- [Matplotlib 自定义函数实现左边柱形图，右边饼图](../../数据可视化/Matplotlib-自定义函数实现左边柱形图，右边饼图/)</v>
      </c>
    </row>
    <row r="6" spans="1:6" x14ac:dyDescent="0.45">
      <c r="A6" t="s">
        <v>99</v>
      </c>
      <c r="B6" t="s">
        <v>104</v>
      </c>
      <c r="C6" t="s">
        <v>304</v>
      </c>
      <c r="D6" s="5" t="str">
        <f t="shared" si="0"/>
        <v>- [Python-基于pyecharts自定义经纬度热力图可视化](数据可视化/Python-基于pyecharts自定义经纬度热力图可视化.md)</v>
      </c>
      <c r="E6" s="5" t="str">
        <f t="shared" si="1"/>
        <v>- [Python-基于pyecharts自定义经纬度热力图可视化](/数据可视化/Python-基于pyecharts自定义经纬度热力图可视化.md)</v>
      </c>
      <c r="F6" t="str">
        <f t="shared" si="2"/>
        <v>- [Python 基于pyecharts自定义经纬度热力图可视化](../../数据可视化/Python-基于pyecharts自定义经纬度热力图可视化/)</v>
      </c>
    </row>
    <row r="7" spans="1:6" x14ac:dyDescent="0.45">
      <c r="A7" t="s">
        <v>99</v>
      </c>
      <c r="B7" t="s">
        <v>105</v>
      </c>
      <c r="C7" t="s">
        <v>305</v>
      </c>
      <c r="D7" s="5" t="str">
        <f t="shared" si="0"/>
        <v>- [Python-利用Matplotlib制作初中时圆规画的图](数据可视化/Python-利用Matplotlib制作初中时圆规画的图.md)</v>
      </c>
      <c r="E7" s="5" t="str">
        <f t="shared" si="1"/>
        <v>- [Python-利用Matplotlib制作初中时圆规画的图](/数据可视化/Python-利用Matplotlib制作初中时圆规画的图.md)</v>
      </c>
      <c r="F7" t="str">
        <f t="shared" si="2"/>
        <v>- [Python 利用Matplotlib制作初中时圆规画的图](../../数据可视化/Python-利用Matplotlib制作初中时圆规画的图/)</v>
      </c>
    </row>
    <row r="8" spans="1:6" x14ac:dyDescent="0.45">
      <c r="A8" t="s">
        <v>99</v>
      </c>
      <c r="B8" t="s">
        <v>148</v>
      </c>
      <c r="C8" t="s">
        <v>306</v>
      </c>
      <c r="D8" s="5" t="str">
        <f t="shared" si="0"/>
        <v>- [Python-基于Matplotlib制作动态图](数据可视化/Python-基于Matplotlib制作动态图.md)</v>
      </c>
      <c r="E8" s="5" t="str">
        <f t="shared" si="1"/>
        <v>- [Python-基于Matplotlib制作动态图](/数据可视化/Python-基于Matplotlib制作动态图.md)</v>
      </c>
      <c r="F8" t="str">
        <f t="shared" si="2"/>
        <v>- [Python 基于Matplotlib制作动态图](../../数据可视化/Python-基于Matplotlib制作动态图/)</v>
      </c>
    </row>
    <row r="9" spans="1:6" x14ac:dyDescent="0.45">
      <c r="A9" t="s">
        <v>99</v>
      </c>
      <c r="B9" t="s">
        <v>149</v>
      </c>
      <c r="C9" t="s">
        <v>307</v>
      </c>
      <c r="D9" s="5" t="str">
        <f t="shared" si="0"/>
        <v>- [Python-基于plotly库快速画旭日图](数据可视化/Python-基于plotly库快速画旭日图.md)</v>
      </c>
      <c r="E9" s="5" t="str">
        <f t="shared" si="1"/>
        <v>- [Python-基于plotly库快速画旭日图](/数据可视化/Python-基于plotly库快速画旭日图.md)</v>
      </c>
      <c r="F9" t="str">
        <f t="shared" si="2"/>
        <v>- [Python 基于plotly库快速画旭日图](../../数据可视化/Python-基于plotly库快速画旭日图/)</v>
      </c>
    </row>
    <row r="10" spans="1:6" x14ac:dyDescent="0.45">
      <c r="A10" t="s">
        <v>99</v>
      </c>
      <c r="B10" t="s">
        <v>150</v>
      </c>
      <c r="C10" t="s">
        <v>308</v>
      </c>
      <c r="D10" s="5" t="str">
        <f t="shared" si="0"/>
        <v>- [Python-基于plotly库快速绘制时间线图](数据可视化/Python-基于plotly库快速绘制时间线图.md)</v>
      </c>
      <c r="E10" s="5" t="str">
        <f t="shared" si="1"/>
        <v>- [Python-基于plotly库快速绘制时间线图](/数据可视化/Python-基于plotly库快速绘制时间线图.md)</v>
      </c>
      <c r="F10" t="str">
        <f t="shared" si="2"/>
        <v>- [Python 基于plotly库快速绘制时间线图](../../数据可视化/Python-基于plotly库快速绘制时间线图/)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workbookViewId="0">
      <selection activeCell="F2" sqref="F2"/>
    </sheetView>
  </sheetViews>
  <sheetFormatPr defaultRowHeight="16.5" x14ac:dyDescent="0.45"/>
  <cols>
    <col min="1" max="1" width="9.3828125" customWidth="1"/>
    <col min="2" max="2" width="41.765625" customWidth="1"/>
    <col min="3" max="3" width="19.53515625" customWidth="1"/>
    <col min="4" max="5" width="12.15234375" style="5" customWidth="1"/>
    <col min="6" max="6" width="41.304687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107</v>
      </c>
      <c r="B2" t="s">
        <v>108</v>
      </c>
      <c r="C2" t="s">
        <v>294</v>
      </c>
      <c r="D2" s="5" t="str">
        <f>"- ["&amp;LEFT(B2,LEN(B2)-3)&amp;"]("&amp;A2&amp;"/"&amp;B2&amp;")"</f>
        <v>- [分类问题中Sigmoid-与-Softmax-区别](数学知识/分类问题中Sigmoid-与-Softmax-区别.md)</v>
      </c>
      <c r="E2" s="5" t="str">
        <f>"- ["&amp;SUBSTITUTE(B2,".md","")&amp;"](/"&amp;A2&amp;"/"&amp;B2&amp;")"</f>
        <v>- [分类问题中Sigmoid-与-Softmax-区别](/数学知识/分类问题中Sigmoid-与-Softmax-区别.md)</v>
      </c>
      <c r="F2" t="str">
        <f t="shared" ref="F2:F5" si="0">"- ["&amp;C2&amp;"](../../"&amp;A2&amp;"/"&amp;LEFT(B2,LEN(B2)-3)&amp;"/)"</f>
        <v>- [分类问题中 Sigmoid与Softmax 区别](../../数学知识/分类问题中Sigmoid-与-Softmax-区别/)</v>
      </c>
    </row>
    <row r="3" spans="1:6" x14ac:dyDescent="0.45">
      <c r="A3" t="s">
        <v>107</v>
      </c>
      <c r="B3" t="s">
        <v>109</v>
      </c>
      <c r="C3" t="s">
        <v>218</v>
      </c>
      <c r="D3" s="5" t="str">
        <f>"- ["&amp;LEFT(B3,LEN(B3)-3)&amp;"]("&amp;A3&amp;"/"&amp;B3&amp;")"</f>
        <v>- [利用Python枚举所有的排列情况](数学知识/利用Python枚举所有的排列情况.md)</v>
      </c>
      <c r="E3" s="5" t="str">
        <f>"- ["&amp;SUBSTITUTE(B3,".md","")&amp;"](/"&amp;A3&amp;"/"&amp;B3&amp;")"</f>
        <v>- [利用Python枚举所有的排列情况](/数学知识/利用Python枚举所有的排列情况.md)</v>
      </c>
      <c r="F3" t="str">
        <f t="shared" si="0"/>
        <v>- [利用Python枚举所有的排列情况](../../数学知识/利用Python枚举所有的排列情况/)</v>
      </c>
    </row>
    <row r="4" spans="1:6" x14ac:dyDescent="0.45">
      <c r="A4" t="s">
        <v>107</v>
      </c>
      <c r="B4" t="s">
        <v>111</v>
      </c>
      <c r="C4" t="s">
        <v>295</v>
      </c>
      <c r="D4" s="5" t="str">
        <f>"- ["&amp;LEFT(B4,LEN(B4)-3)&amp;"]("&amp;A4&amp;"/"&amp;B4&amp;")"</f>
        <v>- [Python-使用sklearn计算余弦相似度](数学知识/Python-使用sklearn计算余弦相似度.md)</v>
      </c>
      <c r="E4" s="5" t="str">
        <f>"- ["&amp;SUBSTITUTE(B4,".md","")&amp;"](/"&amp;A4&amp;"/"&amp;B4&amp;")"</f>
        <v>- [Python-使用sklearn计算余弦相似度](/数学知识/Python-使用sklearn计算余弦相似度.md)</v>
      </c>
      <c r="F4" t="str">
        <f t="shared" si="0"/>
        <v>- [Python 使用sklearn计算余弦相似度](../../数学知识/Python-使用sklearn计算余弦相似度/)</v>
      </c>
    </row>
    <row r="5" spans="1:6" x14ac:dyDescent="0.45">
      <c r="A5" t="s">
        <v>107</v>
      </c>
      <c r="B5" t="s">
        <v>112</v>
      </c>
      <c r="C5" t="s">
        <v>219</v>
      </c>
      <c r="D5" s="5" t="str">
        <f>"- ["&amp;LEFT(B5,LEN(B5)-3)&amp;"]("&amp;A5&amp;"/"&amp;B5&amp;")"</f>
        <v>- [Python利用枚举法，解决一道面试算法题](数学知识/Python利用枚举法，解决一道面试算法题.md)</v>
      </c>
      <c r="E5" s="5" t="str">
        <f>"- ["&amp;SUBSTITUTE(B5,".md","")&amp;"](/"&amp;A5&amp;"/"&amp;B5&amp;")"</f>
        <v>- [Python利用枚举法，解决一道面试算法题](/数学知识/Python利用枚举法，解决一道面试算法题.md)</v>
      </c>
      <c r="F5" t="str">
        <f t="shared" si="0"/>
        <v>- [Python利用枚举法，解决一道面试算法题](../../数学知识/Python利用枚举法，解决一道面试算法题/)</v>
      </c>
    </row>
    <row r="8" spans="1:6" s="3" customFormat="1" x14ac:dyDescent="0.45">
      <c r="A8" s="2" t="s">
        <v>173</v>
      </c>
      <c r="D8" s="6"/>
      <c r="E8" s="6"/>
    </row>
    <row r="9" spans="1:6" x14ac:dyDescent="0.45">
      <c r="A9" t="s">
        <v>107</v>
      </c>
      <c r="B9" t="s">
        <v>323</v>
      </c>
      <c r="C9" t="s">
        <v>324</v>
      </c>
      <c r="D9" s="5" t="str">
        <f>"- ["&amp;MID(B9,10,LEN(B9)-12)&amp;"]("&amp;A9&amp;"/"&amp;B9&amp;")"</f>
        <v>- [回顾协方差含义，利用Python进行计算](数学知识/20260706-回顾协方差含义，利用Python进行计算.md)</v>
      </c>
      <c r="E9" s="5" t="str">
        <f>"- ["&amp;MID(B9,10,LEN(B9)-12)&amp;"](/"&amp;A9&amp;"/"&amp;B9&amp;")"</f>
        <v>- [回顾协方差含义，利用Python进行计算](/数学知识/20260706-回顾协方差含义，利用Python进行计算.md)</v>
      </c>
      <c r="F9" t="str">
        <f>"- ["&amp;C9&amp;"](../../"&amp;A9&amp;"/"&amp;LEFT(B9,LEN(B9)-3)&amp;"/)"</f>
        <v>- [回顾协方差含义，利用Python进行计算](../../数学知识/20260706-回顾协方差含义，利用Python进行计算/)</v>
      </c>
    </row>
    <row r="10" spans="1:6" x14ac:dyDescent="0.45">
      <c r="A10" t="s">
        <v>107</v>
      </c>
      <c r="B10" t="s">
        <v>327</v>
      </c>
      <c r="C10" t="s">
        <v>328</v>
      </c>
      <c r="D10" s="5" t="str">
        <f t="shared" ref="D10:D15" si="1">"- ["&amp;MID(B10,10,LEN(B10)-12)&amp;"]("&amp;A10&amp;"/"&amp;B10&amp;")"</f>
        <v>- [鸢尾花书系列与矩阵两个视角](数学知识/20260902-鸢尾花书系列与矩阵两个视角.md)</v>
      </c>
      <c r="E10" s="5" t="str">
        <f t="shared" ref="E10:E15" si="2">"- ["&amp;MID(B10,10,LEN(B10)-12)&amp;"](/"&amp;A10&amp;"/"&amp;B10&amp;")"</f>
        <v>- [鸢尾花书系列与矩阵两个视角](/数学知识/20260902-鸢尾花书系列与矩阵两个视角.md)</v>
      </c>
      <c r="F10" t="str">
        <f>"- ["&amp;C10&amp;"](../../"&amp;A10&amp;"/"&amp;LEFT(B10,LEN(B10)-3)&amp;"/)"</f>
        <v>- [鸢尾花书系列与矩阵两个视角](../../数学知识/20260902-鸢尾花书系列与矩阵两个视角/)</v>
      </c>
    </row>
    <row r="11" spans="1:6" x14ac:dyDescent="0.45">
      <c r="A11" t="s">
        <v>107</v>
      </c>
      <c r="D11" s="5" t="e">
        <f t="shared" si="1"/>
        <v>#VALUE!</v>
      </c>
      <c r="E11" s="5" t="e">
        <f t="shared" si="2"/>
        <v>#VALUE!</v>
      </c>
      <c r="F11" t="e">
        <f t="shared" ref="F11:F15" si="3">"- ["&amp;C11&amp;"](../../"&amp;A11&amp;"/"&amp;LEFT(B11,LEN(B11)-3)&amp;"/)"</f>
        <v>#VALUE!</v>
      </c>
    </row>
    <row r="12" spans="1:6" x14ac:dyDescent="0.45">
      <c r="A12" t="s">
        <v>107</v>
      </c>
      <c r="D12" s="5" t="e">
        <f t="shared" si="1"/>
        <v>#VALUE!</v>
      </c>
      <c r="E12" s="5" t="e">
        <f t="shared" si="2"/>
        <v>#VALUE!</v>
      </c>
      <c r="F12" t="e">
        <f t="shared" si="3"/>
        <v>#VALUE!</v>
      </c>
    </row>
    <row r="13" spans="1:6" x14ac:dyDescent="0.45">
      <c r="A13" t="s">
        <v>107</v>
      </c>
      <c r="D13" s="5" t="e">
        <f t="shared" si="1"/>
        <v>#VALUE!</v>
      </c>
      <c r="E13" s="5" t="e">
        <f t="shared" si="2"/>
        <v>#VALUE!</v>
      </c>
      <c r="F13" t="e">
        <f t="shared" si="3"/>
        <v>#VALUE!</v>
      </c>
    </row>
    <row r="14" spans="1:6" x14ac:dyDescent="0.45">
      <c r="A14" t="s">
        <v>107</v>
      </c>
      <c r="D14" s="5" t="e">
        <f t="shared" si="1"/>
        <v>#VALUE!</v>
      </c>
      <c r="E14" s="5" t="e">
        <f t="shared" si="2"/>
        <v>#VALUE!</v>
      </c>
      <c r="F14" t="e">
        <f t="shared" si="3"/>
        <v>#VALUE!</v>
      </c>
    </row>
    <row r="15" spans="1:6" x14ac:dyDescent="0.45">
      <c r="A15" t="s">
        <v>107</v>
      </c>
      <c r="D15" s="5" t="e">
        <f t="shared" si="1"/>
        <v>#VALUE!</v>
      </c>
      <c r="E15" s="5" t="e">
        <f t="shared" si="2"/>
        <v>#VALUE!</v>
      </c>
      <c r="F15" t="e">
        <f t="shared" si="3"/>
        <v>#VALUE!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>
      <selection activeCell="C16" sqref="C16"/>
    </sheetView>
  </sheetViews>
  <sheetFormatPr defaultRowHeight="16.5" x14ac:dyDescent="0.45"/>
  <cols>
    <col min="1" max="1" width="8.61328125" customWidth="1"/>
    <col min="2" max="2" width="42.15234375" customWidth="1"/>
    <col min="3" max="3" width="30.69140625" customWidth="1"/>
    <col min="4" max="5" width="15" style="5" customWidth="1"/>
    <col min="6" max="6" width="38.460937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113</v>
      </c>
      <c r="B2" t="s">
        <v>114</v>
      </c>
      <c r="C2" t="s">
        <v>220</v>
      </c>
      <c r="D2" s="5" t="str">
        <f>"- ["&amp;LEFT(B2,LEN(B2)-3)&amp;"]("&amp;A2&amp;"/"&amp;B2&amp;")"</f>
        <v>- [工欲善其事必先利其器](随笔/工欲善其事必先利其器.md)</v>
      </c>
      <c r="E2" s="5" t="str">
        <f>"- ["&amp;SUBSTITUTE(B2,".md","")&amp;"](/"&amp;A2&amp;"/"&amp;B2&amp;")"</f>
        <v>- [工欲善其事必先利其器](/随笔/工欲善其事必先利其器.md)</v>
      </c>
      <c r="F2" t="str">
        <f t="shared" ref="F2:F5" si="0">"- ["&amp;C2&amp;"](../../"&amp;A2&amp;"/"&amp;LEFT(B2,LEN(B2)-3)&amp;"/)"</f>
        <v>- [工欲善其事必先利其器](../../随笔/工欲善其事必先利其器/)</v>
      </c>
    </row>
    <row r="3" spans="1:6" x14ac:dyDescent="0.45">
      <c r="A3" t="s">
        <v>113</v>
      </c>
      <c r="B3" t="s">
        <v>115</v>
      </c>
      <c r="C3" t="s">
        <v>221</v>
      </c>
      <c r="D3" s="5" t="str">
        <f t="shared" ref="D3:D5" si="1">"- ["&amp;LEFT(B3,LEN(B3)-3)&amp;"]("&amp;A3&amp;"/"&amp;B3&amp;")"</f>
        <v>- [吴军老师的《计算之魂》部分重点摘要](随笔/吴军老师的《计算之魂》部分重点摘要.md)</v>
      </c>
      <c r="E3" s="5" t="str">
        <f t="shared" ref="E3:E5" si="2">"- ["&amp;SUBSTITUTE(B3,".md","")&amp;"](/"&amp;A3&amp;"/"&amp;B3&amp;")"</f>
        <v>- [吴军老师的《计算之魂》部分重点摘要](/随笔/吴军老师的《计算之魂》部分重点摘要.md)</v>
      </c>
      <c r="F3" t="str">
        <f t="shared" si="0"/>
        <v>- [吴军老师的《计算之魂》部分重点摘要](../../随笔/吴军老师的《计算之魂》部分重点摘要/)</v>
      </c>
    </row>
    <row r="4" spans="1:6" x14ac:dyDescent="0.45">
      <c r="A4" t="s">
        <v>113</v>
      </c>
      <c r="B4" t="s">
        <v>145</v>
      </c>
      <c r="C4" t="s">
        <v>222</v>
      </c>
      <c r="D4" s="5" t="str">
        <f t="shared" si="1"/>
        <v>- [从互联网+，到DeepSeek+，新一轮的技术变革](随笔/从互联网+，到DeepSeek+，新一轮的技术变革.md)</v>
      </c>
      <c r="E4" s="5" t="str">
        <f t="shared" si="2"/>
        <v>- [从互联网+，到DeepSeek+，新一轮的技术变革](/随笔/从互联网+，到DeepSeek+，新一轮的技术变革.md)</v>
      </c>
      <c r="F4" t="str">
        <f t="shared" si="0"/>
        <v>- [从互联网+，到DeepSeek+，新一轮的技术变革](../../随笔/从互联网+，到DeepSeek+，新一轮的技术变革/)</v>
      </c>
    </row>
    <row r="5" spans="1:6" x14ac:dyDescent="0.45">
      <c r="A5" t="s">
        <v>113</v>
      </c>
      <c r="B5" t="s">
        <v>151</v>
      </c>
      <c r="C5" t="s">
        <v>223</v>
      </c>
      <c r="D5" s="5" t="str">
        <f t="shared" si="1"/>
        <v>- [管理的精髓](随笔/管理的精髓.md)</v>
      </c>
      <c r="E5" s="5" t="str">
        <f t="shared" si="2"/>
        <v>- [管理的精髓](/随笔/管理的精髓.md)</v>
      </c>
      <c r="F5" t="str">
        <f t="shared" si="0"/>
        <v>- [管理的精髓](../../随笔/管理的精髓/)</v>
      </c>
    </row>
    <row r="8" spans="1:6" s="3" customFormat="1" x14ac:dyDescent="0.45">
      <c r="A8" s="2" t="s">
        <v>173</v>
      </c>
      <c r="D8" s="6"/>
      <c r="E8" s="6"/>
    </row>
    <row r="9" spans="1:6" x14ac:dyDescent="0.45">
      <c r="A9" t="s">
        <v>113</v>
      </c>
      <c r="B9" t="s">
        <v>180</v>
      </c>
      <c r="C9" t="s">
        <v>315</v>
      </c>
      <c r="D9" s="5" t="str">
        <f>"- ["&amp;MID(B9,10,LEN(B9)-12)&amp;"]("&amp;A9&amp;"/"&amp;B9&amp;")"</f>
        <v>- [告别焦虑，借助AI深化技术学习](随笔/20260421-告别焦虑，借助AI深化技术学习.md)</v>
      </c>
      <c r="E9" s="5" t="str">
        <f>"- ["&amp;MID(B9,10,LEN(B9)-12)&amp;"](/"&amp;A9&amp;"/"&amp;B9&amp;")"</f>
        <v>- [告别焦虑，借助AI深化技术学习](/随笔/20260421-告别焦虑，借助AI深化技术学习.md)</v>
      </c>
      <c r="F9" t="str">
        <f>"- ["&amp;C9&amp;"](../../"&amp;A9&amp;"/"&amp;LEFT(B9,LEN(B9)-3)&amp;"/)"</f>
        <v>- [告别焦虑，借助AI深化技术学习](../../随笔/20260421-告别焦虑，借助AI深化技术学习/)</v>
      </c>
    </row>
    <row r="10" spans="1:6" x14ac:dyDescent="0.45">
      <c r="A10" t="s">
        <v>113</v>
      </c>
      <c r="B10" t="s">
        <v>183</v>
      </c>
      <c r="C10" t="s">
        <v>316</v>
      </c>
      <c r="D10" s="5" t="str">
        <f t="shared" ref="D10:D15" si="3">"- ["&amp;MID(B10,10,LEN(B10)-12)&amp;"]("&amp;A10&amp;"/"&amp;B10&amp;")"</f>
        <v>- [1度电，到底能炼出多少Tokens](随笔/20260506-1度电，到底能炼出多少Tokens.md)</v>
      </c>
      <c r="E10" s="5" t="str">
        <f t="shared" ref="E10:E15" si="4">"- ["&amp;MID(B10,10,LEN(B10)-12)&amp;"](/"&amp;A10&amp;"/"&amp;B10&amp;")"</f>
        <v>- [1度电，到底能炼出多少Tokens](/随笔/20260506-1度电，到底能炼出多少Tokens.md)</v>
      </c>
      <c r="F10" t="str">
        <f>"- ["&amp;C10&amp;"](../../"&amp;A10&amp;"/"&amp;LEFT(B10,LEN(B10)-3)&amp;"/)"</f>
        <v>- [1度电，到底能炼出多少Tokens](../../随笔/20260506-1度电，到底能炼出多少Tokens/)</v>
      </c>
    </row>
    <row r="11" spans="1:6" x14ac:dyDescent="0.45">
      <c r="A11" t="s">
        <v>113</v>
      </c>
      <c r="B11" t="s">
        <v>317</v>
      </c>
      <c r="C11" t="s">
        <v>318</v>
      </c>
      <c r="D11" s="5" t="str">
        <f t="shared" si="3"/>
        <v>- [再见CSDN，再见简书：开源博客 + 大模型，让小白也能拥有理想中的个人博客站点](随笔/20260601-再见CSDN，再见简书：开源博客 + 大模型，让小白也能拥有理想中的个人博客站点.md)</v>
      </c>
      <c r="E11" s="5" t="str">
        <f t="shared" si="4"/>
        <v>- [再见CSDN，再见简书：开源博客 + 大模型，让小白也能拥有理想中的个人博客站点](/随笔/20260601-再见CSDN，再见简书：开源博客 + 大模型，让小白也能拥有理想中的个人博客站点.md)</v>
      </c>
      <c r="F11" t="str">
        <f t="shared" ref="F11:F15" si="5">"- ["&amp;C11&amp;"](../../"&amp;A11&amp;"/"&amp;LEFT(B11,LEN(B11)-3)&amp;"/)"</f>
        <v>- [再见CSDN，再见简书：开源博客 + 大模型，让小白也能拥有理想中的个人博客站点](../../随笔/20260601-再见CSDN，再见简书：开源博客 + 大模型，让小白也能拥有理想中的个人博客站点/)</v>
      </c>
    </row>
    <row r="12" spans="1:6" x14ac:dyDescent="0.45">
      <c r="A12" t="s">
        <v>113</v>
      </c>
      <c r="B12" t="s">
        <v>321</v>
      </c>
      <c r="C12" t="s">
        <v>322</v>
      </c>
      <c r="D12" s="5" t="str">
        <f t="shared" si="3"/>
        <v>- [从超平面到分散式表示：传统机器学习与神经网络到底学到了什么？](随笔/20260616-从超平面到分散式表示：传统机器学习与神经网络到底学到了什么？.md)</v>
      </c>
      <c r="E12" s="5" t="str">
        <f t="shared" si="4"/>
        <v>- [从超平面到分散式表示：传统机器学习与神经网络到底学到了什么？](/随笔/20260616-从超平面到分散式表示：传统机器学习与神经网络到底学到了什么？.md)</v>
      </c>
      <c r="F12" t="str">
        <f t="shared" si="5"/>
        <v>- [从超平面到分散式表示：传统机器学习与神经网络到底学到了什么？](../../随笔/20260616-从超平面到分散式表示：传统机器学习与神经网络到底学到了什么？/)</v>
      </c>
    </row>
    <row r="13" spans="1:6" x14ac:dyDescent="0.45">
      <c r="A13" t="s">
        <v>113</v>
      </c>
      <c r="B13" t="s">
        <v>329</v>
      </c>
      <c r="C13" t="s">
        <v>330</v>
      </c>
      <c r="D13" s="5" t="str">
        <f t="shared" si="3"/>
        <v>- [从小山走出来的人，去看大山的美](随笔/20261008-从小山走出来的人，去看大山的美.md)</v>
      </c>
      <c r="E13" s="5" t="str">
        <f t="shared" si="4"/>
        <v>- [从小山走出来的人，去看大山的美](/随笔/20261008-从小山走出来的人，去看大山的美.md)</v>
      </c>
      <c r="F13" t="str">
        <f t="shared" si="5"/>
        <v>- [从小山走出来的人，去看大山的美](../../随笔/20261008-从小山走出来的人，去看大山的美/)</v>
      </c>
    </row>
    <row r="14" spans="1:6" x14ac:dyDescent="0.45">
      <c r="A14" t="s">
        <v>113</v>
      </c>
      <c r="D14" s="5" t="e">
        <f t="shared" si="3"/>
        <v>#VALUE!</v>
      </c>
      <c r="E14" s="5" t="e">
        <f t="shared" si="4"/>
        <v>#VALUE!</v>
      </c>
      <c r="F14" t="e">
        <f t="shared" si="5"/>
        <v>#VALUE!</v>
      </c>
    </row>
    <row r="15" spans="1:6" x14ac:dyDescent="0.45">
      <c r="A15" t="s">
        <v>113</v>
      </c>
      <c r="D15" s="5" t="e">
        <f t="shared" si="3"/>
        <v>#VALUE!</v>
      </c>
      <c r="E15" s="5" t="e">
        <f t="shared" si="4"/>
        <v>#VALUE!</v>
      </c>
      <c r="F15" t="e">
        <f t="shared" si="5"/>
        <v>#VALUE!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selection activeCell="E1" sqref="E1:E2"/>
    </sheetView>
  </sheetViews>
  <sheetFormatPr defaultRowHeight="16.5" x14ac:dyDescent="0.45"/>
  <cols>
    <col min="1" max="1" width="11.15234375" customWidth="1"/>
    <col min="2" max="2" width="23.61328125" customWidth="1"/>
    <col min="3" max="3" width="36.53515625" customWidth="1"/>
    <col min="4" max="4" width="20.23046875" customWidth="1"/>
    <col min="5" max="5" width="46.3828125" customWidth="1"/>
  </cols>
  <sheetData>
    <row r="1" spans="1:5" s="1" customFormat="1" x14ac:dyDescent="0.45">
      <c r="A1" s="1" t="s">
        <v>2</v>
      </c>
      <c r="B1" s="1" t="s">
        <v>0</v>
      </c>
      <c r="C1" s="1" t="s">
        <v>1</v>
      </c>
      <c r="D1" s="1" t="s">
        <v>187</v>
      </c>
      <c r="E1" s="1" t="s">
        <v>186</v>
      </c>
    </row>
    <row r="2" spans="1:5" x14ac:dyDescent="0.45">
      <c r="A2" t="s">
        <v>126</v>
      </c>
      <c r="B2" t="s">
        <v>127</v>
      </c>
      <c r="C2" t="str">
        <f>"- ["&amp;LEFT(B2,LEN(B2)-3)&amp;"]("&amp;A2&amp;"/"&amp;B2&amp;")"</f>
        <v>- [Clickhouse-读取存储在hdfs的hive表数据](Clickhouse/Clickhouse-读取存储在hdfs的hive表数据.md)</v>
      </c>
      <c r="D2" t="str">
        <f>"- ["&amp;SUBSTITUTE(B2,".md","")&amp;"](/"&amp;A2&amp;"/"&amp;B2&amp;")"</f>
        <v>- [Clickhouse-读取存储在hdfs的hive表数据](/Clickhouse/Clickhouse-读取存储在hdfs的hive表数据.md)</v>
      </c>
      <c r="E2" t="str">
        <f t="shared" ref="E2:E4" si="0">"- ["&amp;LEFT(B2,LEN(B2)-3)&amp;"](../../"&amp;A2&amp;"/"&amp;LEFT(B2,LEN(B2)-3)&amp;"/)"</f>
        <v>- [Clickhouse-读取存储在hdfs的hive表数据](../../Clickhouse/Clickhouse-读取存储在hdfs的hive表数据/)</v>
      </c>
    </row>
    <row r="3" spans="1:5" x14ac:dyDescent="0.45">
      <c r="A3" t="s">
        <v>126</v>
      </c>
      <c r="B3" t="s">
        <v>128</v>
      </c>
      <c r="C3" t="str">
        <f t="shared" ref="C3:C4" si="1">"- ["&amp;LEFT(B3,LEN(B3)-3)&amp;"]("&amp;A3&amp;"/"&amp;B3&amp;")"</f>
        <v>- [Clickhouse-基础使用教程](Clickhouse/Clickhouse-基础使用教程.md)</v>
      </c>
      <c r="D3" t="str">
        <f t="shared" ref="D3:D4" si="2">"- ["&amp;SUBSTITUTE(B3,".md","")&amp;"](/"&amp;A3&amp;"/"&amp;B3&amp;")"</f>
        <v>- [Clickhouse-基础使用教程](/Clickhouse/Clickhouse-基础使用教程.md)</v>
      </c>
      <c r="E3" t="str">
        <f t="shared" si="0"/>
        <v>- [Clickhouse-基础使用教程](../../Clickhouse/Clickhouse-基础使用教程/)</v>
      </c>
    </row>
    <row r="4" spans="1:5" x14ac:dyDescent="0.45">
      <c r="A4" t="s">
        <v>126</v>
      </c>
      <c r="B4" t="s">
        <v>129</v>
      </c>
      <c r="C4" t="str">
        <f t="shared" si="1"/>
        <v>- [Clickhouse中创建生成日期序列自定义函数](Clickhouse/Clickhouse中创建生成日期序列自定义函数.md)</v>
      </c>
      <c r="D4" t="str">
        <f t="shared" si="2"/>
        <v>- [Clickhouse中创建生成日期序列自定义函数](/Clickhouse/Clickhouse中创建生成日期序列自定义函数.md)</v>
      </c>
      <c r="E4" t="str">
        <f t="shared" si="0"/>
        <v>- [Clickhouse中创建生成日期序列自定义函数](../../Clickhouse/Clickhouse中创建生成日期序列自定义函数/)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4"/>
  <sheetViews>
    <sheetView workbookViewId="0">
      <selection activeCell="C15" sqref="C15"/>
    </sheetView>
  </sheetViews>
  <sheetFormatPr defaultRowHeight="16.5" x14ac:dyDescent="0.45"/>
  <cols>
    <col min="1" max="1" width="11.61328125" customWidth="1"/>
    <col min="2" max="3" width="36.23046875" customWidth="1"/>
    <col min="4" max="5" width="19.15234375" style="5" customWidth="1"/>
    <col min="6" max="6" width="29.6132812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171</v>
      </c>
      <c r="F1" s="1" t="s">
        <v>186</v>
      </c>
    </row>
    <row r="2" spans="1:6" x14ac:dyDescent="0.45">
      <c r="A2" t="s">
        <v>152</v>
      </c>
      <c r="B2" t="s">
        <v>153</v>
      </c>
      <c r="D2" s="5" t="str">
        <f>"- ["&amp;LEFT(B2,LEN(B2)-3)&amp;"]("&amp;A2&amp;"/"&amp;B2&amp;")"</f>
        <v>- [尝试-gemini-cli，在本地开发俄罗斯方块](大模型相关/尝试-gemini-cli，在本地开发俄罗斯方块.md)</v>
      </c>
      <c r="E2" s="5" t="str">
        <f>"- ["&amp;SUBSTITUTE(B2,".md","")&amp;"](/"&amp;A2&amp;"/"&amp;B2&amp;")"</f>
        <v>- [尝试-gemini-cli，在本地开发俄罗斯方块](/大模型相关/尝试-gemini-cli，在本地开发俄罗斯方块.md)</v>
      </c>
      <c r="F2" t="str">
        <f t="shared" ref="F2:F3" si="0">"- ["&amp;LEFT(B2,LEN(B2)-3)&amp;"](../../"&amp;A2&amp;"/"&amp;LEFT(B2,LEN(B2)-3)&amp;"/)"</f>
        <v>- [尝试-gemini-cli，在本地开发俄罗斯方块](../../大模型相关/尝试-gemini-cli，在本地开发俄罗斯方块/)</v>
      </c>
    </row>
    <row r="3" spans="1:6" x14ac:dyDescent="0.45">
      <c r="A3" t="s">
        <v>152</v>
      </c>
      <c r="B3" t="s">
        <v>131</v>
      </c>
      <c r="D3" s="5" t="str">
        <f t="shared" ref="D3" si="1">"- ["&amp;LEFT(B3,LEN(B3)-3)&amp;"]("&amp;A3&amp;"/"&amp;B3&amp;")"</f>
        <v>- [基于DeepSeek，构建个人本地RAG知识库](大模型相关/基于DeepSeek，构建个人本地RAG知识库.md)</v>
      </c>
      <c r="E3" s="5" t="str">
        <f t="shared" ref="E3" si="2">"- ["&amp;SUBSTITUTE(B3,".md","")&amp;"](/"&amp;A3&amp;"/"&amp;B3&amp;")"</f>
        <v>- [基于DeepSeek，构建个人本地RAG知识库](/大模型相关/基于DeepSeek，构建个人本地RAG知识库.md)</v>
      </c>
      <c r="F3" t="str">
        <f t="shared" si="0"/>
        <v>- [基于DeepSeek，构建个人本地RAG知识库](../../大模型相关/基于DeepSeek，构建个人本地RAG知识库/)</v>
      </c>
    </row>
    <row r="4" spans="1:6" x14ac:dyDescent="0.45">
      <c r="A4" t="s">
        <v>152</v>
      </c>
      <c r="B4" t="s">
        <v>23</v>
      </c>
      <c r="D4" s="5" t="str">
        <f t="shared" ref="D4" si="3">"- ["&amp;LEFT(B4,LEN(B4)-3)&amp;"]("&amp;A4&amp;"/"&amp;B4&amp;")"</f>
        <v>- [Python调用apiKey试玩ChatGPT](大模型相关/Python调用apiKey试玩ChatGPT.md)</v>
      </c>
      <c r="E4" s="5" t="str">
        <f t="shared" ref="E4" si="4">"- ["&amp;SUBSTITUTE(B4,".md","")&amp;"](/"&amp;A4&amp;"/"&amp;B4&amp;")"</f>
        <v>- [Python调用apiKey试玩ChatGPT](/大模型相关/Python调用apiKey试玩ChatGPT.md)</v>
      </c>
      <c r="F4" t="str">
        <f t="shared" ref="F4" si="5">"- ["&amp;LEFT(B4,LEN(B4)-3)&amp;"](../../"&amp;A4&amp;"/"&amp;LEFT(B4,LEN(B4)-3)&amp;"/)"</f>
        <v>- [Python调用apiKey试玩ChatGPT](../../大模型相关/Python调用apiKey试玩ChatGPT/)</v>
      </c>
    </row>
    <row r="5" spans="1:6" x14ac:dyDescent="0.45">
      <c r="A5" t="s">
        <v>152</v>
      </c>
      <c r="B5" t="s">
        <v>110</v>
      </c>
      <c r="D5" s="5" t="str">
        <f t="shared" ref="D5" si="6">"- ["&amp;LEFT(B5,LEN(B5)-3)&amp;"]("&amp;A5&amp;"/"&amp;B5&amp;")"</f>
        <v>- [让ChatGPT回答闰年的计算逻辑](大模型相关/让ChatGPT回答闰年的计算逻辑.md)</v>
      </c>
      <c r="E5" s="5" t="str">
        <f t="shared" ref="E5" si="7">"- ["&amp;SUBSTITUTE(B5,".md","")&amp;"](/"&amp;A5&amp;"/"&amp;B5&amp;")"</f>
        <v>- [让ChatGPT回答闰年的计算逻辑](/大模型相关/让ChatGPT回答闰年的计算逻辑.md)</v>
      </c>
      <c r="F5" t="str">
        <f t="shared" ref="F5" si="8">"- ["&amp;LEFT(B5,LEN(B5)-3)&amp;"](../../"&amp;A5&amp;"/"&amp;LEFT(B5,LEN(B5)-3)&amp;"/)"</f>
        <v>- [让ChatGPT回答闰年的计算逻辑](../../大模型相关/让ChatGPT回答闰年的计算逻辑/)</v>
      </c>
    </row>
    <row r="7" spans="1:6" s="3" customFormat="1" x14ac:dyDescent="0.45">
      <c r="A7" s="2" t="s">
        <v>173</v>
      </c>
      <c r="D7" s="6"/>
      <c r="E7" s="6"/>
    </row>
    <row r="8" spans="1:6" x14ac:dyDescent="0.45">
      <c r="A8" t="s">
        <v>152</v>
      </c>
      <c r="B8" t="s">
        <v>176</v>
      </c>
      <c r="C8" t="s">
        <v>334</v>
      </c>
      <c r="D8" s="5" t="str">
        <f>"- ["&amp;MID(B8,10,LEN(B8)-12)&amp;"]("&amp;A8&amp;"/"&amp;B8&amp;")"</f>
        <v>- [OpenClaw使用体验](大模型相关/20260313-OpenClaw使用体验.md)</v>
      </c>
      <c r="E8" s="5" t="str">
        <f>"- ["&amp;MID(B8,10,LEN(B8)-12)&amp;"](/"&amp;A8&amp;"/"&amp;B8&amp;")"</f>
        <v>- [OpenClaw使用体验](/大模型相关/20260313-OpenClaw使用体验.md)</v>
      </c>
      <c r="F8" t="str">
        <f>"- ["&amp;C8&amp;"](../../"&amp;A8&amp;"/"&amp;LEFT(B8,LEN(B8)-3)&amp;"/)"</f>
        <v>- [OpenClaw使用体验](../../大模型相关/20260313-OpenClaw使用体验/)</v>
      </c>
    </row>
    <row r="9" spans="1:6" x14ac:dyDescent="0.45">
      <c r="A9" t="s">
        <v>152</v>
      </c>
      <c r="B9" t="s">
        <v>177</v>
      </c>
      <c r="C9" t="s">
        <v>335</v>
      </c>
      <c r="D9" s="5" t="str">
        <f t="shared" ref="D9:D14" si="9">"- ["&amp;MID(B9,10,LEN(B9)-12)&amp;"]("&amp;A9&amp;"/"&amp;B9&amp;")"</f>
        <v>- [VibeCoding完全指南：2026年，我们用“感觉”写代码](大模型相关/20260320-VibeCoding完全指南：2026年，我们用“感觉”写代码.md)</v>
      </c>
      <c r="E9" s="5" t="str">
        <f t="shared" ref="E9:E14" si="10">"- ["&amp;MID(B9,10,LEN(B9)-12)&amp;"](/"&amp;A9&amp;"/"&amp;B9&amp;")"</f>
        <v>- [VibeCoding完全指南：2026年，我们用“感觉”写代码](/大模型相关/20260320-VibeCoding完全指南：2026年，我们用“感觉”写代码.md)</v>
      </c>
      <c r="F9" t="str">
        <f t="shared" ref="F9:F14" si="11">"- ["&amp;MID(B9,10,LEN(B9)-12)&amp;"](../../"&amp;A9&amp;"/"&amp;LEFT(B9,LEN(B9)-3)&amp;"/)"</f>
        <v>- [VibeCoding完全指南：2026年，我们用“感觉”写代码](../../大模型相关/20260320-VibeCoding完全指南：2026年，我们用“感觉”写代码/)</v>
      </c>
    </row>
    <row r="10" spans="1:6" x14ac:dyDescent="0.45">
      <c r="A10" t="s">
        <v>152</v>
      </c>
      <c r="B10" t="s">
        <v>178</v>
      </c>
      <c r="C10" t="s">
        <v>336</v>
      </c>
      <c r="D10" s="5" t="str">
        <f t="shared" si="9"/>
        <v>- [Vibe_Coding初体验：用AI辅助开发一款心情打卡小程序](大模型相关/20260326-Vibe_Coding初体验：用AI辅助开发一款心情打卡小程序.md)</v>
      </c>
      <c r="E10" s="5" t="str">
        <f t="shared" si="10"/>
        <v>- [Vibe_Coding初体验：用AI辅助开发一款心情打卡小程序](/大模型相关/20260326-Vibe_Coding初体验：用AI辅助开发一款心情打卡小程序.md)</v>
      </c>
      <c r="F10" t="str">
        <f t="shared" si="11"/>
        <v>- [Vibe_Coding初体验：用AI辅助开发一款心情打卡小程序](../../大模型相关/20260326-Vibe_Coding初体验：用AI辅助开发一款心情打卡小程序/)</v>
      </c>
    </row>
    <row r="11" spans="1:6" x14ac:dyDescent="0.45">
      <c r="A11" t="s">
        <v>152</v>
      </c>
      <c r="B11" t="s">
        <v>333</v>
      </c>
      <c r="C11" t="s">
        <v>337</v>
      </c>
      <c r="D11" s="5" t="str">
        <f t="shared" si="9"/>
        <v>- [给Agent装上手脚，打通本地、数据集群与云运维](大模型相关/20261022-给Agent装上手脚，打通本地、数据集群与云运维.md)</v>
      </c>
      <c r="E11" s="5" t="str">
        <f t="shared" si="10"/>
        <v>- [给Agent装上手脚，打通本地、数据集群与云运维](/大模型相关/20261022-给Agent装上手脚，打通本地、数据集群与云运维.md)</v>
      </c>
      <c r="F11" t="str">
        <f t="shared" si="11"/>
        <v>- [给Agent装上手脚，打通本地、数据集群与云运维](../../大模型相关/20261022-给Agent装上手脚，打通本地、数据集群与云运维/)</v>
      </c>
    </row>
    <row r="12" spans="1:6" x14ac:dyDescent="0.45">
      <c r="A12" t="s">
        <v>152</v>
      </c>
      <c r="D12" s="5" t="e">
        <f t="shared" si="9"/>
        <v>#VALUE!</v>
      </c>
      <c r="E12" s="5" t="e">
        <f t="shared" si="10"/>
        <v>#VALUE!</v>
      </c>
      <c r="F12" t="e">
        <f t="shared" si="11"/>
        <v>#VALUE!</v>
      </c>
    </row>
    <row r="13" spans="1:6" x14ac:dyDescent="0.45">
      <c r="A13" t="s">
        <v>152</v>
      </c>
      <c r="D13" s="5" t="e">
        <f t="shared" si="9"/>
        <v>#VALUE!</v>
      </c>
      <c r="E13" s="5" t="e">
        <f t="shared" si="10"/>
        <v>#VALUE!</v>
      </c>
      <c r="F13" t="e">
        <f t="shared" si="11"/>
        <v>#VALUE!</v>
      </c>
    </row>
    <row r="14" spans="1:6" x14ac:dyDescent="0.45">
      <c r="A14" t="s">
        <v>152</v>
      </c>
      <c r="D14" s="5" t="e">
        <f t="shared" si="9"/>
        <v>#VALUE!</v>
      </c>
      <c r="E14" s="5" t="e">
        <f t="shared" si="10"/>
        <v>#VALUE!</v>
      </c>
      <c r="F14" t="e">
        <f t="shared" si="11"/>
        <v>#VALUE!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selection activeCell="F2" sqref="F2"/>
    </sheetView>
  </sheetViews>
  <sheetFormatPr defaultRowHeight="16.5" x14ac:dyDescent="0.45"/>
  <cols>
    <col min="1" max="1" width="10.23046875" bestFit="1" customWidth="1"/>
    <col min="2" max="2" width="39.23046875" bestFit="1" customWidth="1"/>
    <col min="3" max="3" width="32" style="5" customWidth="1"/>
    <col min="4" max="4" width="25.69140625" style="5" customWidth="1"/>
    <col min="6" max="6" width="41.15234375" customWidth="1"/>
  </cols>
  <sheetData>
    <row r="1" spans="1:6" s="1" customFormat="1" x14ac:dyDescent="0.45">
      <c r="A1" s="1" t="s">
        <v>2</v>
      </c>
      <c r="B1" s="1" t="s">
        <v>0</v>
      </c>
      <c r="C1" s="1" t="s">
        <v>254</v>
      </c>
      <c r="D1" s="4" t="s">
        <v>1</v>
      </c>
      <c r="E1" s="4" t="s">
        <v>187</v>
      </c>
      <c r="F1" s="1" t="s">
        <v>186</v>
      </c>
    </row>
    <row r="2" spans="1:6" x14ac:dyDescent="0.45">
      <c r="A2" t="s">
        <v>146</v>
      </c>
      <c r="B2" t="s">
        <v>147</v>
      </c>
      <c r="C2" t="s">
        <v>300</v>
      </c>
      <c r="D2" s="5" t="str">
        <f>"- ["&amp;LEFT(B2,LEN(B2)-3)&amp;"]("&amp;A2&amp;"/"&amp;B2&amp;")"</f>
        <v>- [Python中一个构建-web-页面的神奇库-streamlit](Web/Python中一个构建-web-页面的神奇库-streamlit.md)</v>
      </c>
      <c r="E2" s="5" t="str">
        <f>"- ["&amp;SUBSTITUTE(B2,".md","")&amp;"](/"&amp;A2&amp;"/"&amp;B2&amp;")"</f>
        <v>- [Python中一个构建-web-页面的神奇库-streamlit](/Web/Python中一个构建-web-页面的神奇库-streamlit.md)</v>
      </c>
      <c r="F2" t="str">
        <f>"- ["&amp;C2&amp;"](../../"&amp;A2&amp;"/"&amp;LEFT(B2,LEN(B2)-3)&amp;"/)"</f>
        <v>- [Python中一个构建 web 页面的神奇库 streamlit](../../Web/Python中一个构建-web-页面的神奇库-streamlit/)</v>
      </c>
    </row>
    <row r="3" spans="1:6" x14ac:dyDescent="0.45">
      <c r="C3"/>
      <c r="E3" s="5"/>
    </row>
    <row r="4" spans="1:6" x14ac:dyDescent="0.45">
      <c r="C4"/>
      <c r="E4" s="5"/>
    </row>
    <row r="5" spans="1:6" s="3" customFormat="1" x14ac:dyDescent="0.45">
      <c r="A5" s="2" t="s">
        <v>173</v>
      </c>
      <c r="D5" s="6"/>
      <c r="E5" s="6"/>
    </row>
    <row r="6" spans="1:6" x14ac:dyDescent="0.45">
      <c r="A6" t="s">
        <v>146</v>
      </c>
      <c r="B6" t="s">
        <v>181</v>
      </c>
      <c r="C6" t="s">
        <v>301</v>
      </c>
      <c r="D6" s="5" t="str">
        <f>"- ["&amp;MID(B6,10,LEN(B6)-12)&amp;"]("&amp;A6&amp;"/"&amp;B6&amp;")"</f>
        <v>- [Python异步编程与CPU密集型任务的优雅解法](Web/20260424-Python异步编程与CPU密集型任务的优雅解法.md)</v>
      </c>
      <c r="E6" s="5" t="str">
        <f>"- ["&amp;MID(B6,10,LEN(B6)-12)&amp;"](/"&amp;A6&amp;"/"&amp;B6&amp;")"</f>
        <v>- [Python异步编程与CPU密集型任务的优雅解法](/Web/20260424-Python异步编程与CPU密集型任务的优雅解法.md)</v>
      </c>
      <c r="F6" t="str">
        <f>"- ["&amp;C6&amp;"](../../"&amp;A6&amp;"/"&amp;LEFT(B6,LEN(B6)-3)&amp;"/)"</f>
        <v>- [Python异步编程与CPU密集型任务的优雅解法](../../Web/20260424-Python异步编程与CPU密集型任务的优雅解法/)</v>
      </c>
    </row>
    <row r="7" spans="1:6" x14ac:dyDescent="0.45">
      <c r="A7" t="s">
        <v>146</v>
      </c>
      <c r="C7"/>
      <c r="D7" s="5" t="e">
        <f t="shared" ref="D7:D12" si="0">"- ["&amp;MID(B7,10,LEN(B7)-12)&amp;"]("&amp;A7&amp;"/"&amp;B7&amp;")"</f>
        <v>#VALUE!</v>
      </c>
      <c r="E7" s="5" t="e">
        <f t="shared" ref="E7:E12" si="1">"- ["&amp;MID(B7,10,LEN(B7)-12)&amp;"](/"&amp;A7&amp;"/"&amp;B7&amp;")"</f>
        <v>#VALUE!</v>
      </c>
      <c r="F7" t="e">
        <f t="shared" ref="F7:F12" si="2">"- ["&amp;C7&amp;"](../../"&amp;A7&amp;"/"&amp;LEFT(B7,LEN(B7)-3)&amp;"/)"</f>
        <v>#VALUE!</v>
      </c>
    </row>
    <row r="8" spans="1:6" x14ac:dyDescent="0.45">
      <c r="A8" t="s">
        <v>146</v>
      </c>
      <c r="C8"/>
      <c r="D8" s="5" t="e">
        <f t="shared" si="0"/>
        <v>#VALUE!</v>
      </c>
      <c r="E8" s="5" t="e">
        <f t="shared" si="1"/>
        <v>#VALUE!</v>
      </c>
      <c r="F8" t="e">
        <f t="shared" si="2"/>
        <v>#VALUE!</v>
      </c>
    </row>
    <row r="9" spans="1:6" x14ac:dyDescent="0.45">
      <c r="A9" t="s">
        <v>146</v>
      </c>
      <c r="C9"/>
      <c r="D9" s="5" t="e">
        <f t="shared" si="0"/>
        <v>#VALUE!</v>
      </c>
      <c r="E9" s="5" t="e">
        <f t="shared" si="1"/>
        <v>#VALUE!</v>
      </c>
      <c r="F9" t="e">
        <f t="shared" si="2"/>
        <v>#VALUE!</v>
      </c>
    </row>
    <row r="10" spans="1:6" x14ac:dyDescent="0.45">
      <c r="A10" t="s">
        <v>146</v>
      </c>
      <c r="C10"/>
      <c r="D10" s="5" t="e">
        <f t="shared" si="0"/>
        <v>#VALUE!</v>
      </c>
      <c r="E10" s="5" t="e">
        <f t="shared" si="1"/>
        <v>#VALUE!</v>
      </c>
      <c r="F10" t="e">
        <f t="shared" si="2"/>
        <v>#VALUE!</v>
      </c>
    </row>
    <row r="11" spans="1:6" x14ac:dyDescent="0.45">
      <c r="A11" t="s">
        <v>146</v>
      </c>
      <c r="C11"/>
      <c r="D11" s="5" t="e">
        <f t="shared" si="0"/>
        <v>#VALUE!</v>
      </c>
      <c r="E11" s="5" t="e">
        <f t="shared" si="1"/>
        <v>#VALUE!</v>
      </c>
      <c r="F11" t="e">
        <f t="shared" si="2"/>
        <v>#VALUE!</v>
      </c>
    </row>
    <row r="12" spans="1:6" x14ac:dyDescent="0.45">
      <c r="A12" t="s">
        <v>146</v>
      </c>
      <c r="C12"/>
      <c r="D12" s="5" t="e">
        <f t="shared" si="0"/>
        <v>#VALUE!</v>
      </c>
      <c r="E12" s="5" t="e">
        <f t="shared" si="1"/>
        <v>#VALUE!</v>
      </c>
      <c r="F12" t="e">
        <f t="shared" si="2"/>
        <v>#VALUE!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polars-学习</vt:lpstr>
      <vt:lpstr>Hive</vt:lpstr>
      <vt:lpstr>EXCEL数据处理-VBA</vt:lpstr>
      <vt:lpstr>Linux</vt:lpstr>
      <vt:lpstr>NLP</vt:lpstr>
      <vt:lpstr>Python基础库</vt:lpstr>
      <vt:lpstr>Python数据处理</vt:lpstr>
      <vt:lpstr>Python图像处理</vt:lpstr>
      <vt:lpstr>数据采集</vt:lpstr>
      <vt:lpstr>数据分析与挖掘</vt:lpstr>
      <vt:lpstr>数据可视化</vt:lpstr>
      <vt:lpstr>数学知识</vt:lpstr>
      <vt:lpstr>随笔</vt:lpstr>
      <vt:lpstr>clickehouse</vt:lpstr>
      <vt:lpstr>大模型相关</vt:lpstr>
      <vt:lpstr>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duo zhang</cp:lastModifiedBy>
  <dcterms:created xsi:type="dcterms:W3CDTF">2021-09-10T09:35:50Z</dcterms:created>
  <dcterms:modified xsi:type="dcterms:W3CDTF">2026-10-22T11:27:20Z</dcterms:modified>
</cp:coreProperties>
</file>